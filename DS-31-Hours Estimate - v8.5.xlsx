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.sharepoint.com/teams/FY20M365Compliance-Partner/Shared Documents/General/BOM - Compliance Workshop (IN MARKET)/V8/V8.5 Work in progress/0. Sources do not Publish/"/>
    </mc:Choice>
  </mc:AlternateContent>
  <xr:revisionPtr revIDLastSave="1724" documentId="8_{78D1C2C5-B68B-4E21-A15A-950CB6644C2E}" xr6:coauthVersionLast="47" xr6:coauthVersionMax="47" xr10:uidLastSave="{BFA55C66-647E-432D-B93F-C83E2D977E2F}"/>
  <bookViews>
    <workbookView xWindow="-108" yWindow="-108" windowWidth="61656" windowHeight="16776" xr2:uid="{38A6DC79-F9FB-45AA-88DD-B25A2C2713A8}"/>
  </bookViews>
  <sheets>
    <sheet name="Hours estimate" sheetId="3" r:id="rId1"/>
    <sheet name="Version information" sheetId="2" r:id="rId2"/>
  </sheets>
  <definedNames>
    <definedName name="_Ref1961301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92" i="3" l="1"/>
  <c r="AN90" i="3"/>
  <c r="AN88" i="3"/>
  <c r="AN86" i="3"/>
  <c r="AN84" i="3"/>
  <c r="AN82" i="3"/>
  <c r="AN80" i="3"/>
  <c r="AK90" i="3"/>
  <c r="AK88" i="3"/>
  <c r="AK86" i="3"/>
  <c r="AK84" i="3"/>
  <c r="AK82" i="3"/>
  <c r="AK80" i="3"/>
  <c r="AI78" i="3"/>
  <c r="AK89" i="3"/>
  <c r="AJ89" i="3"/>
  <c r="AK87" i="3"/>
  <c r="AJ87" i="3"/>
  <c r="AK85" i="3"/>
  <c r="AJ85" i="3"/>
  <c r="AK83" i="3"/>
  <c r="AJ83" i="3"/>
  <c r="AK81" i="3"/>
  <c r="AJ81" i="3"/>
  <c r="AK79" i="3"/>
  <c r="AJ79" i="3"/>
  <c r="F17" i="3"/>
  <c r="F78" i="3"/>
  <c r="T7" i="2" s="1"/>
  <c r="C76" i="3"/>
  <c r="B76" i="3"/>
  <c r="C75" i="3"/>
  <c r="B75" i="3"/>
  <c r="C74" i="3"/>
  <c r="B74" i="3"/>
  <c r="C73" i="3"/>
  <c r="B73" i="3"/>
  <c r="C72" i="3"/>
  <c r="B72" i="3"/>
  <c r="C71" i="3"/>
  <c r="B71" i="3"/>
  <c r="T6" i="2"/>
  <c r="S6" i="2"/>
  <c r="T5" i="2"/>
  <c r="S5" i="2"/>
  <c r="T4" i="2"/>
  <c r="S4" i="2"/>
  <c r="T3" i="2"/>
  <c r="F20" i="3"/>
  <c r="F19" i="3"/>
  <c r="F18" i="3"/>
  <c r="F16" i="3"/>
  <c r="F15" i="3"/>
  <c r="AR76" i="3"/>
  <c r="AR60" i="3"/>
  <c r="AV74" i="3"/>
  <c r="AV72" i="3"/>
  <c r="AV70" i="3"/>
  <c r="AV68" i="3"/>
  <c r="AV66" i="3"/>
  <c r="AV64" i="3"/>
  <c r="AV76" i="3" s="1"/>
  <c r="AS74" i="3"/>
  <c r="AS72" i="3"/>
  <c r="AS70" i="3"/>
  <c r="AS68" i="3"/>
  <c r="AS66" i="3"/>
  <c r="AS64" i="3"/>
  <c r="AQ62" i="3"/>
  <c r="AV58" i="3"/>
  <c r="AV56" i="3"/>
  <c r="AV54" i="3"/>
  <c r="AV52" i="3"/>
  <c r="AV50" i="3"/>
  <c r="AV48" i="3"/>
  <c r="AS58" i="3"/>
  <c r="AS56" i="3"/>
  <c r="AS54" i="3"/>
  <c r="AS52" i="3"/>
  <c r="AS50" i="3"/>
  <c r="AS48" i="3"/>
  <c r="AQ46" i="3"/>
  <c r="AS73" i="3"/>
  <c r="AR73" i="3"/>
  <c r="AS71" i="3"/>
  <c r="AR71" i="3"/>
  <c r="AS69" i="3"/>
  <c r="AR69" i="3"/>
  <c r="AS67" i="3"/>
  <c r="AR67" i="3"/>
  <c r="AS65" i="3"/>
  <c r="AR65" i="3"/>
  <c r="AS63" i="3"/>
  <c r="AR63" i="3"/>
  <c r="AS57" i="3"/>
  <c r="AR57" i="3"/>
  <c r="AS55" i="3"/>
  <c r="AR55" i="3"/>
  <c r="AS53" i="3"/>
  <c r="AR53" i="3"/>
  <c r="AS51" i="3"/>
  <c r="AR51" i="3"/>
  <c r="AS49" i="3"/>
  <c r="AR49" i="3"/>
  <c r="AS47" i="3"/>
  <c r="AR47" i="3"/>
  <c r="N19" i="3"/>
  <c r="N39" i="3"/>
  <c r="N33" i="3"/>
  <c r="N27" i="3"/>
  <c r="N21" i="3"/>
  <c r="N15" i="3"/>
  <c r="N9" i="3"/>
  <c r="K39" i="3"/>
  <c r="K33" i="3"/>
  <c r="K27" i="3"/>
  <c r="K21" i="3"/>
  <c r="K15" i="3"/>
  <c r="K9" i="3"/>
  <c r="K6" i="3"/>
  <c r="AN92" i="3" l="1"/>
  <c r="F21" i="3"/>
  <c r="AV60" i="3"/>
  <c r="AD66" i="3" l="1"/>
  <c r="V66" i="3"/>
  <c r="AA64" i="3"/>
  <c r="Z64" i="3"/>
  <c r="S64" i="3"/>
  <c r="R64" i="3"/>
  <c r="AA63" i="3"/>
  <c r="Z63" i="3"/>
  <c r="S63" i="3"/>
  <c r="R63" i="3"/>
  <c r="AA62" i="3"/>
  <c r="Z62" i="3"/>
  <c r="S62" i="3"/>
  <c r="R62" i="3"/>
  <c r="AA61" i="3"/>
  <c r="Z61" i="3"/>
  <c r="S61" i="3"/>
  <c r="R61" i="3"/>
  <c r="AA60" i="3"/>
  <c r="Z60" i="3"/>
  <c r="S60" i="3"/>
  <c r="R60" i="3"/>
  <c r="AA59" i="3"/>
  <c r="Z59" i="3"/>
  <c r="S59" i="3"/>
  <c r="R59" i="3"/>
  <c r="AD54" i="3"/>
  <c r="AA52" i="3"/>
  <c r="Z52" i="3"/>
  <c r="AA51" i="3"/>
  <c r="Z51" i="3"/>
  <c r="AA50" i="3"/>
  <c r="Z50" i="3"/>
  <c r="AA49" i="3"/>
  <c r="Z49" i="3"/>
  <c r="AA48" i="3"/>
  <c r="Z48" i="3"/>
  <c r="AA47" i="3"/>
  <c r="Z47" i="3"/>
  <c r="N8" i="3"/>
  <c r="N66" i="3" l="1"/>
  <c r="F66" i="3"/>
  <c r="V54" i="3"/>
  <c r="N54" i="3"/>
  <c r="F54" i="3"/>
  <c r="AJ76" i="3"/>
  <c r="AK74" i="3"/>
  <c r="AK72" i="3"/>
  <c r="AK70" i="3"/>
  <c r="AK68" i="3"/>
  <c r="AK66" i="3"/>
  <c r="AK64" i="3"/>
  <c r="AK73" i="3"/>
  <c r="AJ73" i="3"/>
  <c r="AK71" i="3"/>
  <c r="AJ71" i="3"/>
  <c r="AK69" i="3"/>
  <c r="AJ69" i="3"/>
  <c r="AK67" i="3"/>
  <c r="AJ67" i="3"/>
  <c r="AK65" i="3"/>
  <c r="AJ65" i="3"/>
  <c r="AK63" i="3"/>
  <c r="AJ63" i="3"/>
  <c r="AI62" i="3"/>
  <c r="AN74" i="3"/>
  <c r="AN58" i="3"/>
  <c r="AN72" i="3"/>
  <c r="AN56" i="3"/>
  <c r="AN70" i="3"/>
  <c r="AN54" i="3"/>
  <c r="AN68" i="3"/>
  <c r="AN52" i="3"/>
  <c r="AN66" i="3"/>
  <c r="AN50" i="3"/>
  <c r="AK57" i="3"/>
  <c r="AK55" i="3"/>
  <c r="AK53" i="3"/>
  <c r="AK51" i="3"/>
  <c r="AK49" i="3"/>
  <c r="AK47" i="3"/>
  <c r="K34" i="3"/>
  <c r="K28" i="3"/>
  <c r="K22" i="3"/>
  <c r="K16" i="3"/>
  <c r="K10" i="3"/>
  <c r="K4" i="3"/>
  <c r="K35" i="3"/>
  <c r="K29" i="3"/>
  <c r="K23" i="3"/>
  <c r="K17" i="3"/>
  <c r="K11" i="3"/>
  <c r="N14" i="3"/>
  <c r="N20" i="3"/>
  <c r="N26" i="3"/>
  <c r="N32" i="3"/>
  <c r="N38" i="3"/>
  <c r="N13" i="3"/>
  <c r="N25" i="3"/>
  <c r="N31" i="3"/>
  <c r="N37" i="3"/>
  <c r="N36" i="3"/>
  <c r="N30" i="3"/>
  <c r="N24" i="3"/>
  <c r="N18" i="3"/>
  <c r="N12" i="3"/>
  <c r="AJ57" i="3"/>
  <c r="AJ55" i="3"/>
  <c r="AJ53" i="3"/>
  <c r="AJ51" i="3"/>
  <c r="AJ49" i="3"/>
  <c r="K38" i="3"/>
  <c r="K37" i="3"/>
  <c r="K36" i="3"/>
  <c r="J34" i="3"/>
  <c r="K32" i="3"/>
  <c r="K31" i="3"/>
  <c r="K30" i="3"/>
  <c r="J28" i="3"/>
  <c r="K26" i="3"/>
  <c r="K25" i="3"/>
  <c r="K24" i="3"/>
  <c r="J22" i="3"/>
  <c r="B50" i="3"/>
  <c r="K20" i="3"/>
  <c r="K19" i="3"/>
  <c r="K18" i="3"/>
  <c r="J16" i="3"/>
  <c r="K14" i="3"/>
  <c r="K13" i="3"/>
  <c r="K12" i="3"/>
  <c r="J10" i="3"/>
  <c r="AJ47" i="3"/>
  <c r="AN64" i="3"/>
  <c r="AN48" i="3"/>
  <c r="N7" i="3"/>
  <c r="N6" i="3"/>
  <c r="K8" i="3"/>
  <c r="K7" i="3"/>
  <c r="K5" i="3"/>
  <c r="J4" i="3"/>
  <c r="C52" i="3"/>
  <c r="B52" i="3"/>
  <c r="C51" i="3"/>
  <c r="B51" i="3"/>
  <c r="C50" i="3"/>
  <c r="C49" i="3"/>
  <c r="B49" i="3"/>
  <c r="C48" i="3"/>
  <c r="B48" i="3"/>
  <c r="C47" i="3"/>
  <c r="B47" i="3"/>
  <c r="K52" i="3"/>
  <c r="J52" i="3"/>
  <c r="K51" i="3"/>
  <c r="J51" i="3"/>
  <c r="K50" i="3"/>
  <c r="J50" i="3"/>
  <c r="K49" i="3"/>
  <c r="J49" i="3"/>
  <c r="K48" i="3"/>
  <c r="J48" i="3"/>
  <c r="K47" i="3"/>
  <c r="J47" i="3"/>
  <c r="K64" i="3"/>
  <c r="J64" i="3"/>
  <c r="K63" i="3"/>
  <c r="J63" i="3"/>
  <c r="K62" i="3"/>
  <c r="J62" i="3"/>
  <c r="K61" i="3"/>
  <c r="J61" i="3"/>
  <c r="K60" i="3"/>
  <c r="J60" i="3"/>
  <c r="K59" i="3"/>
  <c r="J59" i="3"/>
  <c r="C64" i="3"/>
  <c r="B64" i="3"/>
  <c r="S52" i="3"/>
  <c r="R52" i="3"/>
  <c r="C63" i="3"/>
  <c r="B63" i="3"/>
  <c r="S51" i="3"/>
  <c r="R51" i="3"/>
  <c r="C62" i="3"/>
  <c r="B62" i="3"/>
  <c r="S50" i="3"/>
  <c r="R50" i="3"/>
  <c r="C61" i="3"/>
  <c r="B61" i="3"/>
  <c r="S49" i="3"/>
  <c r="R49" i="3"/>
  <c r="C60" i="3"/>
  <c r="B60" i="3"/>
  <c r="S48" i="3"/>
  <c r="R48" i="3"/>
  <c r="C59" i="3"/>
  <c r="B59" i="3"/>
  <c r="S47" i="3"/>
  <c r="R47" i="3"/>
  <c r="N40" i="3" l="1"/>
  <c r="F5" i="3" s="1"/>
  <c r="F9" i="3" s="1"/>
  <c r="AN60" i="3"/>
  <c r="AN76" i="3"/>
  <c r="AK48" i="3"/>
  <c r="AK50" i="3"/>
  <c r="AK56" i="3"/>
  <c r="AJ60" i="3"/>
  <c r="AK54" i="3"/>
  <c r="AK52" i="3"/>
  <c r="AK58" i="3"/>
  <c r="S3" i="2"/>
  <c r="AI46" i="3"/>
</calcChain>
</file>

<file path=xl/sharedStrings.xml><?xml version="1.0" encoding="utf-8"?>
<sst xmlns="http://schemas.openxmlformats.org/spreadsheetml/2006/main" count="177" uniqueCount="101">
  <si>
    <t>Delivery</t>
  </si>
  <si>
    <t>Pre-engagement call</t>
  </si>
  <si>
    <t>Recommendations and next steps</t>
  </si>
  <si>
    <t>+</t>
  </si>
  <si>
    <t>Total Estimated partner effort</t>
  </si>
  <si>
    <t>Kick-off meeting</t>
  </si>
  <si>
    <t>Step 1</t>
  </si>
  <si>
    <t>Step 2</t>
  </si>
  <si>
    <t>Setup and Configuration</t>
  </si>
  <si>
    <t>Step 3</t>
  </si>
  <si>
    <t>Step 4</t>
  </si>
  <si>
    <t>Step 5</t>
  </si>
  <si>
    <t>Step 6</t>
  </si>
  <si>
    <t>Decommision</t>
  </si>
  <si>
    <t>François van Hemert</t>
  </si>
  <si>
    <t>Author</t>
  </si>
  <si>
    <t>Changes</t>
  </si>
  <si>
    <t>Date</t>
  </si>
  <si>
    <t>Version</t>
  </si>
  <si>
    <t>1.0</t>
  </si>
  <si>
    <t>2.0</t>
  </si>
  <si>
    <t>First published v1 release</t>
  </si>
  <si>
    <t>First published v2 release</t>
  </si>
  <si>
    <t>November 2019</t>
  </si>
  <si>
    <t>June 2020</t>
  </si>
  <si>
    <t>2.1</t>
  </si>
  <si>
    <t>Maintenance release, minor updates.</t>
  </si>
  <si>
    <t>Estimated partner effort</t>
  </si>
  <si>
    <t>Acquire and assign licenses</t>
  </si>
  <si>
    <t>January 2021</t>
  </si>
  <si>
    <t>Modular release, added Compliance Manager, removed CIE</t>
  </si>
  <si>
    <t>3.0</t>
  </si>
  <si>
    <t>3.1</t>
  </si>
  <si>
    <t>February 2021</t>
  </si>
  <si>
    <t>Added Teams Data Loss Prevention as optional module</t>
  </si>
  <si>
    <t>4.0</t>
  </si>
  <si>
    <t>June 2021</t>
  </si>
  <si>
    <t>Analyze the findings</t>
  </si>
  <si>
    <t>Report and recommendations write-up</t>
  </si>
  <si>
    <t>Additional effort - Kick-off meeting</t>
  </si>
  <si>
    <t>Additional effort - Acquire and assign licenses</t>
  </si>
  <si>
    <t>Additional effort - Setup and Configuration</t>
  </si>
  <si>
    <t>Additional effort - Analyze the findings</t>
  </si>
  <si>
    <t>Additional effort - Report and recommendations write-up</t>
  </si>
  <si>
    <t>Additional effort - Decommision</t>
  </si>
  <si>
    <t>Steps and step names</t>
  </si>
  <si>
    <t>Estimated additional effort for preparation</t>
  </si>
  <si>
    <t>Estimated additional effort for delivery</t>
  </si>
  <si>
    <t>Estimated total effort</t>
  </si>
  <si>
    <t>Core Activities</t>
  </si>
  <si>
    <t>Exchange Online</t>
  </si>
  <si>
    <t>SharePoint Online</t>
  </si>
  <si>
    <t>Teams</t>
  </si>
  <si>
    <t>Estimated additional effort</t>
  </si>
  <si>
    <t>Estimated partner effort - Mandatory Scope</t>
  </si>
  <si>
    <t>Estimated partner effort - Optional Scope</t>
  </si>
  <si>
    <t>Estimated effort</t>
  </si>
  <si>
    <t xml:space="preserve">Additional effort - </t>
  </si>
  <si>
    <t>Workshop split, update to align with new narrative, rebranding,  updates to guidance and organized around data repositories.</t>
  </si>
  <si>
    <t>4.1</t>
  </si>
  <si>
    <t>October 2021</t>
  </si>
  <si>
    <t>Update with Compliance Manager Premium Assessments</t>
  </si>
  <si>
    <t>4.2</t>
  </si>
  <si>
    <t>Purview branding update, step-by-step guidance update to align with changes M365</t>
  </si>
  <si>
    <t>Microsoft Purview portfolio overview</t>
  </si>
  <si>
    <t>4,2,2</t>
  </si>
  <si>
    <t>Updated version number to align with kit, no content updates</t>
  </si>
  <si>
    <t>6.0</t>
  </si>
  <si>
    <t>Workshop merge, align with FY24 solution play.</t>
  </si>
  <si>
    <t>Data Security Check - Mandatory Scope</t>
  </si>
  <si>
    <t>Data Security Check - default scope</t>
  </si>
  <si>
    <t>Present &amp; discuss the Data Security Check findings</t>
  </si>
  <si>
    <t>Data Security Check - MANDATORY MODULE</t>
  </si>
  <si>
    <t>Data Security Check - OPTIONAL MODULE</t>
  </si>
  <si>
    <t>Insider Risk Management</t>
  </si>
  <si>
    <t>Compliance Manager</t>
  </si>
  <si>
    <t>On-premises data scanner</t>
  </si>
  <si>
    <t>Windows endpoints</t>
  </si>
  <si>
    <t>Communication Compliance</t>
  </si>
  <si>
    <t>Select included module.</t>
  </si>
  <si>
    <t>Module</t>
  </si>
  <si>
    <t>Hours</t>
  </si>
  <si>
    <t xml:space="preserve">           x.x Hrs</t>
  </si>
  <si>
    <t>6.5</t>
  </si>
  <si>
    <t>Update step guidance, align with FY25 solution play</t>
  </si>
  <si>
    <t>6.6</t>
  </si>
  <si>
    <t>Juli 2024</t>
  </si>
  <si>
    <t xml:space="preserve">Version number update for alignment, no content changes </t>
  </si>
  <si>
    <t>7.0</t>
  </si>
  <si>
    <t>Purview for AI</t>
  </si>
  <si>
    <t>Data security for AI</t>
  </si>
  <si>
    <t>Data Security Check - Optional Scope - overview for the Master Delivery guide</t>
  </si>
  <si>
    <t>Added Data security for generative AI module</t>
  </si>
  <si>
    <t>7.1</t>
  </si>
  <si>
    <t>Version number update, no further changes</t>
  </si>
  <si>
    <t>8.0</t>
  </si>
  <si>
    <t>Juli 2025</t>
  </si>
  <si>
    <t>Update to align with current product features and functionality (evergreen), update name, update branding.</t>
  </si>
  <si>
    <t>Data Security Envisioning Workshop - TO BE USED IN STATEMENT OF WORK</t>
  </si>
  <si>
    <t>Data Security Envisioning Workshop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</si>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</sst>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&quot;Hrs&quot;"/>
    <numFmt numFmtId="165" formatCode="mmmm\ yyyy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b/>
      <sz val="12"/>
      <color theme="0"/>
      <name val="Segoe UI"/>
      <family val="2"/>
    </font>
    <font>
      <b/>
      <sz val="10"/>
      <color theme="1"/>
      <name val="Segoe UI"/>
      <family val="2"/>
    </font>
    <font>
      <sz val="12"/>
      <color theme="1"/>
      <name val="Segoe UI"/>
      <family val="2"/>
    </font>
    <font>
      <b/>
      <sz val="12"/>
      <color rgb="FF2E74B5"/>
      <name val="Segoe UI"/>
      <family val="2"/>
    </font>
    <font>
      <b/>
      <sz val="12"/>
      <color theme="1"/>
      <name val="Segoe UI"/>
      <family val="2"/>
    </font>
    <font>
      <b/>
      <sz val="12"/>
      <color rgb="FF0078D4"/>
      <name val="Segoe UI"/>
      <family val="2"/>
    </font>
    <font>
      <sz val="12"/>
      <color rgb="FF002060"/>
      <name val="Segoe UI"/>
      <family val="2"/>
    </font>
    <font>
      <b/>
      <sz val="12"/>
      <color rgb="FF00206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0078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3" borderId="2" xfId="0" applyFont="1" applyFill="1" applyBorder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7" fillId="0" borderId="0" xfId="0" applyFont="1"/>
    <xf numFmtId="164" fontId="5" fillId="0" borderId="0" xfId="0" applyNumberFormat="1" applyFont="1"/>
    <xf numFmtId="164" fontId="5" fillId="0" borderId="1" xfId="0" applyNumberFormat="1" applyFont="1" applyBorder="1"/>
    <xf numFmtId="164" fontId="7" fillId="0" borderId="0" xfId="0" applyNumberFormat="1" applyFont="1"/>
    <xf numFmtId="0" fontId="5" fillId="0" borderId="0" xfId="0" applyFont="1" applyAlignment="1">
      <alignment horizontal="left" indent="2"/>
    </xf>
    <xf numFmtId="0" fontId="6" fillId="2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3" fillId="6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vertical="top"/>
    </xf>
    <xf numFmtId="165" fontId="1" fillId="0" borderId="4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center" vertical="top"/>
    </xf>
    <xf numFmtId="49" fontId="0" fillId="0" borderId="3" xfId="0" quotePrefix="1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9" fillId="7" borderId="0" xfId="0" applyFont="1" applyFill="1"/>
    <xf numFmtId="0" fontId="9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164" fontId="9" fillId="7" borderId="0" xfId="0" applyNumberFormat="1" applyFont="1" applyFill="1"/>
    <xf numFmtId="164" fontId="10" fillId="7" borderId="0" xfId="0" applyNumberFormat="1" applyFont="1" applyFill="1"/>
    <xf numFmtId="0" fontId="5" fillId="8" borderId="0" xfId="0" applyFont="1" applyFill="1" applyAlignment="1">
      <alignment horizontal="left"/>
    </xf>
    <xf numFmtId="164" fontId="5" fillId="8" borderId="0" xfId="0" applyNumberFormat="1" applyFont="1" applyFill="1"/>
    <xf numFmtId="164" fontId="5" fillId="8" borderId="1" xfId="0" applyNumberFormat="1" applyFont="1" applyFill="1" applyBorder="1"/>
    <xf numFmtId="164" fontId="7" fillId="8" borderId="0" xfId="0" applyNumberFormat="1" applyFont="1" applyFill="1"/>
    <xf numFmtId="0" fontId="7" fillId="8" borderId="0" xfId="0" applyFont="1" applyFill="1" applyAlignment="1">
      <alignment horizontal="left"/>
    </xf>
    <xf numFmtId="0" fontId="5" fillId="8" borderId="0" xfId="0" applyFont="1" applyFill="1"/>
    <xf numFmtId="0" fontId="7" fillId="8" borderId="0" xfId="0" applyFont="1" applyFill="1"/>
    <xf numFmtId="164" fontId="5" fillId="9" borderId="0" xfId="0" applyNumberFormat="1" applyFont="1" applyFill="1"/>
    <xf numFmtId="0" fontId="5" fillId="9" borderId="0" xfId="0" applyFont="1" applyFill="1"/>
    <xf numFmtId="0" fontId="7" fillId="0" borderId="0" xfId="0" applyFont="1" applyAlignment="1">
      <alignment horizontal="right"/>
    </xf>
    <xf numFmtId="0" fontId="1" fillId="0" borderId="4" xfId="0" applyFont="1" applyBorder="1" applyAlignment="1">
      <alignment vertical="top"/>
    </xf>
    <xf numFmtId="0" fontId="5" fillId="9" borderId="0" xfId="0" applyFont="1" applyFill="1" applyAlignment="1">
      <alignment horizontal="left"/>
    </xf>
    <xf numFmtId="0" fontId="0" fillId="9" borderId="0" xfId="0" applyFill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mmmm\ yyyy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0078D4"/>
      <color rgb="FFD5DCE4"/>
      <color rgb="FF2E74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ED9E9-531F-4854-8F66-45E18182DFF9}" name="Table1" displayName="Table1" ref="B1:D17" totalsRowShown="0" headerRowDxfId="4" dataDxfId="3">
  <autoFilter ref="B1:D17" xr:uid="{0E10E46F-508C-4653-8250-73A971A3E439}"/>
  <tableColumns count="3">
    <tableColumn id="1" xr3:uid="{5C556E42-9F9F-40AA-8FEC-5B271340F4C6}" name="Date" dataDxfId="2"/>
    <tableColumn id="2" xr3:uid="{CEABE50B-3D85-4564-9821-A5D967FE2A18}" name="Author" dataDxfId="1"/>
    <tableColumn id="3" xr3:uid="{57C58F55-D597-443F-9A6B-3CF16A803F2B}" name="Chang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DFA1-5CEE-4A93-87B7-5AB348DD30EC}">
  <dimension ref="A1:BP118"/>
  <sheetViews>
    <sheetView showGridLines="0" tabSelected="1" zoomScale="115" zoomScaleNormal="115" workbookViewId="0"/>
  </sheetViews>
  <sheetFormatPr defaultColWidth="8.77734375" defaultRowHeight="19.2" x14ac:dyDescent="0.45"/>
  <cols>
    <col min="1" max="1" width="5.77734375" style="4" customWidth="1"/>
    <col min="2" max="2" width="12.77734375" style="14" customWidth="1"/>
    <col min="3" max="3" width="75.77734375" style="4" customWidth="1"/>
    <col min="4" max="4" width="8.77734375" style="4"/>
    <col min="5" max="6" width="12.77734375" style="4" customWidth="1"/>
    <col min="7" max="7" width="5.77734375" style="4" customWidth="1"/>
    <col min="8" max="8" width="8.77734375" style="4"/>
    <col min="9" max="9" width="5.77734375" style="4" customWidth="1"/>
    <col min="10" max="10" width="12.77734375" style="14" customWidth="1"/>
    <col min="11" max="11" width="75.77734375" style="4" customWidth="1"/>
    <col min="12" max="12" width="8.77734375" style="4"/>
    <col min="13" max="14" width="12.77734375" style="4" customWidth="1"/>
    <col min="15" max="15" width="5.77734375" style="4" customWidth="1"/>
    <col min="16" max="16" width="8.77734375" style="4"/>
    <col min="17" max="17" width="5.77734375" style="4" customWidth="1"/>
    <col min="18" max="18" width="12.77734375" style="14" customWidth="1"/>
    <col min="19" max="19" width="75.77734375" style="4" customWidth="1"/>
    <col min="20" max="20" width="8.77734375" style="4" customWidth="1"/>
    <col min="21" max="22" width="12.77734375" style="4" customWidth="1"/>
    <col min="23" max="23" width="5.77734375" style="4" customWidth="1"/>
    <col min="24" max="24" width="8.77734375" style="4"/>
    <col min="25" max="25" width="5.77734375" style="4" customWidth="1"/>
    <col min="26" max="26" width="12.77734375" style="14" customWidth="1"/>
    <col min="27" max="27" width="75.77734375" style="4" customWidth="1"/>
    <col min="28" max="28" width="8.77734375" style="4"/>
    <col min="29" max="30" width="12.77734375" style="4" customWidth="1"/>
    <col min="31" max="31" width="5.77734375" style="4" customWidth="1"/>
    <col min="32" max="32" width="8.77734375" style="4"/>
    <col min="33" max="33" width="5.77734375" style="4" customWidth="1"/>
    <col min="34" max="34" width="12.77734375" style="14" customWidth="1"/>
    <col min="35" max="35" width="3.77734375" style="4" customWidth="1"/>
    <col min="36" max="36" width="12.77734375" style="14" customWidth="1"/>
    <col min="37" max="37" width="46.77734375" style="4" customWidth="1"/>
    <col min="38" max="39" width="2.5546875" style="4" customWidth="1"/>
    <col min="40" max="40" width="12.77734375" style="4" bestFit="1" customWidth="1"/>
    <col min="41" max="42" width="2.44140625" style="4" customWidth="1"/>
    <col min="43" max="43" width="3.77734375" style="4" customWidth="1"/>
    <col min="44" max="44" width="12.77734375" style="14" customWidth="1"/>
    <col min="45" max="45" width="46.77734375" style="4" customWidth="1"/>
    <col min="46" max="47" width="2.5546875" style="4" customWidth="1"/>
    <col min="48" max="48" width="12.77734375" style="4" bestFit="1" customWidth="1"/>
    <col min="49" max="49" width="2.44140625" style="4" customWidth="1"/>
    <col min="50" max="51" width="8.77734375" style="4"/>
    <col min="52" max="52" width="31.77734375" style="4" bestFit="1" customWidth="1"/>
    <col min="53" max="53" width="15.21875" style="4" bestFit="1" customWidth="1"/>
    <col min="54" max="16384" width="8.77734375" style="4"/>
  </cols>
  <sheetData>
    <row r="1" spans="1:16" x14ac:dyDescent="0.45">
      <c r="A1" s="13" t="s">
        <v>99</v>
      </c>
      <c r="B1" s="13"/>
      <c r="C1" s="13"/>
      <c r="D1" s="13"/>
      <c r="E1" s="13"/>
      <c r="F1" s="13"/>
      <c r="G1" s="13"/>
      <c r="H1" s="14"/>
      <c r="I1" s="13" t="s">
        <v>69</v>
      </c>
      <c r="J1" s="13"/>
      <c r="K1" s="13"/>
      <c r="L1" s="13"/>
      <c r="M1" s="13"/>
      <c r="N1" s="13"/>
      <c r="O1" s="13"/>
      <c r="P1" s="14"/>
    </row>
    <row r="2" spans="1:16" x14ac:dyDescent="0.45">
      <c r="A2" s="16" t="s">
        <v>27</v>
      </c>
      <c r="B2" s="16"/>
      <c r="C2" s="16"/>
      <c r="D2" s="16"/>
      <c r="E2" s="16"/>
      <c r="F2" s="16"/>
      <c r="G2" s="16"/>
      <c r="H2" s="14"/>
      <c r="I2" s="16" t="s">
        <v>54</v>
      </c>
      <c r="J2" s="16"/>
      <c r="K2" s="16"/>
      <c r="L2" s="16"/>
      <c r="M2" s="16"/>
      <c r="N2" s="16"/>
      <c r="O2" s="16"/>
      <c r="P2" s="14"/>
    </row>
    <row r="3" spans="1:16" x14ac:dyDescent="0.45">
      <c r="A3" s="5"/>
      <c r="B3" s="12"/>
      <c r="C3" s="5"/>
      <c r="D3" s="5"/>
      <c r="E3" s="6"/>
      <c r="F3" s="19" t="s">
        <v>0</v>
      </c>
      <c r="G3" s="5"/>
      <c r="I3" s="5"/>
      <c r="J3" s="12"/>
      <c r="K3" s="5"/>
      <c r="L3" s="5"/>
      <c r="M3" s="6"/>
      <c r="N3" s="19" t="s">
        <v>0</v>
      </c>
      <c r="O3" s="5"/>
    </row>
    <row r="4" spans="1:16" x14ac:dyDescent="0.45">
      <c r="A4" s="37"/>
      <c r="B4" s="37" t="s">
        <v>1</v>
      </c>
      <c r="C4" s="37"/>
      <c r="D4" s="37"/>
      <c r="E4" s="38"/>
      <c r="F4" s="38">
        <v>1.5</v>
      </c>
      <c r="G4" s="38"/>
      <c r="I4" s="42"/>
      <c r="J4" s="41" t="str">
        <f>+'Version information'!$I$2</f>
        <v>Step 1</v>
      </c>
      <c r="K4" s="43" t="str">
        <f>+'Version information'!$L$2</f>
        <v>Kick-off meeting</v>
      </c>
      <c r="L4" s="38"/>
      <c r="M4" s="42"/>
      <c r="N4" s="42"/>
      <c r="O4" s="42"/>
    </row>
    <row r="5" spans="1:16" x14ac:dyDescent="0.45">
      <c r="A5" s="37"/>
      <c r="B5" s="37" t="s">
        <v>70</v>
      </c>
      <c r="C5" s="37"/>
      <c r="D5" s="37"/>
      <c r="E5" s="38"/>
      <c r="F5" s="38">
        <f>+N40</f>
        <v>22.7</v>
      </c>
      <c r="G5" s="38"/>
      <c r="I5" s="42"/>
      <c r="J5" s="37"/>
      <c r="K5" s="42" t="str">
        <f>+'Version information'!$K$2</f>
        <v>Core Activities</v>
      </c>
      <c r="L5" s="42"/>
      <c r="M5" s="38"/>
      <c r="N5" s="38">
        <v>1.5</v>
      </c>
      <c r="O5" s="42"/>
    </row>
    <row r="6" spans="1:16" x14ac:dyDescent="0.45">
      <c r="A6" s="37"/>
      <c r="B6" s="37" t="s">
        <v>71</v>
      </c>
      <c r="C6" s="37"/>
      <c r="D6" s="37"/>
      <c r="E6" s="38"/>
      <c r="F6" s="38">
        <v>2</v>
      </c>
      <c r="G6" s="38"/>
      <c r="I6" s="42"/>
      <c r="J6" s="37"/>
      <c r="K6" s="42" t="str">
        <f>+$A$45</f>
        <v>Exchange Online</v>
      </c>
      <c r="L6" s="42"/>
      <c r="M6" s="38"/>
      <c r="N6" s="38">
        <f>+F47</f>
        <v>0.5</v>
      </c>
      <c r="O6" s="42"/>
    </row>
    <row r="7" spans="1:16" x14ac:dyDescent="0.45">
      <c r="A7" s="37"/>
      <c r="B7" s="37" t="s">
        <v>64</v>
      </c>
      <c r="C7" s="37"/>
      <c r="D7" s="37"/>
      <c r="E7" s="38"/>
      <c r="F7" s="38">
        <v>2</v>
      </c>
      <c r="G7" s="38"/>
      <c r="I7" s="42"/>
      <c r="J7" s="37"/>
      <c r="K7" s="42" t="str">
        <f>+$I$45</f>
        <v>SharePoint Online</v>
      </c>
      <c r="L7" s="42"/>
      <c r="M7" s="38"/>
      <c r="N7" s="38">
        <f>+N47</f>
        <v>0.5</v>
      </c>
      <c r="O7" s="42"/>
    </row>
    <row r="8" spans="1:16" ht="19.8" thickBot="1" x14ac:dyDescent="0.5">
      <c r="A8" s="37"/>
      <c r="B8" s="37" t="s">
        <v>2</v>
      </c>
      <c r="C8" s="37"/>
      <c r="D8" s="37"/>
      <c r="E8" s="39"/>
      <c r="F8" s="39">
        <v>2</v>
      </c>
      <c r="G8" s="40" t="s">
        <v>3</v>
      </c>
      <c r="I8" s="42"/>
      <c r="J8" s="37"/>
      <c r="K8" s="42" t="str">
        <f>+$Q$45</f>
        <v>Teams</v>
      </c>
      <c r="L8" s="42"/>
      <c r="M8" s="38"/>
      <c r="N8" s="38">
        <f>+V47</f>
        <v>0.5</v>
      </c>
      <c r="O8" s="42"/>
    </row>
    <row r="9" spans="1:16" x14ac:dyDescent="0.45">
      <c r="A9" s="37"/>
      <c r="B9" s="41" t="s">
        <v>4</v>
      </c>
      <c r="C9" s="42"/>
      <c r="D9" s="42"/>
      <c r="E9" s="38"/>
      <c r="F9" s="40">
        <f>SUM(F4:F8)</f>
        <v>30.2</v>
      </c>
      <c r="G9" s="42"/>
      <c r="I9" s="42"/>
      <c r="J9" s="37"/>
      <c r="K9" s="42" t="str">
        <f>+$Y$45</f>
        <v>Insider Risk Management</v>
      </c>
      <c r="L9" s="42"/>
      <c r="M9" s="38"/>
      <c r="N9" s="38">
        <f>+AD47</f>
        <v>1</v>
      </c>
      <c r="O9" s="42"/>
    </row>
    <row r="10" spans="1:16" x14ac:dyDescent="0.45">
      <c r="I10" s="42"/>
      <c r="J10" s="41" t="str">
        <f>+'Version information'!$I$3</f>
        <v>Step 2</v>
      </c>
      <c r="K10" s="43" t="str">
        <f>+'Version information'!$L$3</f>
        <v>Acquire and assign licenses</v>
      </c>
      <c r="L10" s="38"/>
      <c r="M10" s="42"/>
      <c r="N10" s="42"/>
      <c r="O10" s="42"/>
    </row>
    <row r="11" spans="1:16" x14ac:dyDescent="0.45">
      <c r="G11" s="8"/>
      <c r="I11" s="42"/>
      <c r="J11" s="37"/>
      <c r="K11" s="42" t="str">
        <f>+'Version information'!$K$3</f>
        <v>Core Activities</v>
      </c>
      <c r="L11" s="42"/>
      <c r="M11" s="38"/>
      <c r="N11" s="38">
        <v>0.5</v>
      </c>
      <c r="O11" s="42"/>
    </row>
    <row r="12" spans="1:16" x14ac:dyDescent="0.45">
      <c r="A12" s="13" t="s">
        <v>98</v>
      </c>
      <c r="B12" s="13"/>
      <c r="C12" s="13"/>
      <c r="D12" s="13"/>
      <c r="E12" s="13"/>
      <c r="F12" s="13"/>
      <c r="G12" s="13"/>
      <c r="I12" s="42"/>
      <c r="J12" s="37"/>
      <c r="K12" s="42" t="str">
        <f>+$A$45</f>
        <v>Exchange Online</v>
      </c>
      <c r="L12" s="42"/>
      <c r="M12" s="38"/>
      <c r="N12" s="38">
        <f>+F48</f>
        <v>0</v>
      </c>
      <c r="O12" s="42"/>
    </row>
    <row r="13" spans="1:16" x14ac:dyDescent="0.45">
      <c r="A13" s="16" t="s">
        <v>27</v>
      </c>
      <c r="B13" s="16"/>
      <c r="C13" s="16"/>
      <c r="D13" s="16"/>
      <c r="E13" s="16"/>
      <c r="F13" s="16"/>
      <c r="G13" s="16"/>
      <c r="I13" s="42"/>
      <c r="J13" s="37"/>
      <c r="K13" s="42" t="str">
        <f>+$I$45</f>
        <v>SharePoint Online</v>
      </c>
      <c r="L13" s="42"/>
      <c r="M13" s="38"/>
      <c r="N13" s="38">
        <f>+N48</f>
        <v>0</v>
      </c>
      <c r="O13" s="42"/>
    </row>
    <row r="14" spans="1:16" x14ac:dyDescent="0.45">
      <c r="A14" s="5"/>
      <c r="B14" s="12"/>
      <c r="C14" s="5"/>
      <c r="D14" s="5"/>
      <c r="E14" s="6"/>
      <c r="F14" s="19" t="s">
        <v>0</v>
      </c>
      <c r="G14" s="5"/>
      <c r="I14" s="42"/>
      <c r="J14" s="37"/>
      <c r="K14" s="42" t="str">
        <f>+$Q$45</f>
        <v>Teams</v>
      </c>
      <c r="L14" s="42"/>
      <c r="M14" s="38"/>
      <c r="N14" s="38">
        <f>+V48</f>
        <v>0</v>
      </c>
      <c r="O14" s="42"/>
    </row>
    <row r="15" spans="1:16" x14ac:dyDescent="0.45">
      <c r="A15" s="37"/>
      <c r="B15" s="37" t="s">
        <v>1</v>
      </c>
      <c r="C15" s="37"/>
      <c r="D15" s="37"/>
      <c r="E15" s="38"/>
      <c r="F15" s="38">
        <f>+F4</f>
        <v>1.5</v>
      </c>
      <c r="G15" s="38"/>
      <c r="I15" s="42"/>
      <c r="J15" s="37"/>
      <c r="K15" s="42" t="str">
        <f>+$Y$45</f>
        <v>Insider Risk Management</v>
      </c>
      <c r="L15" s="42"/>
      <c r="M15" s="42"/>
      <c r="N15" s="38">
        <f>+AD48</f>
        <v>0</v>
      </c>
      <c r="O15" s="42"/>
    </row>
    <row r="16" spans="1:16" x14ac:dyDescent="0.45">
      <c r="A16" s="37"/>
      <c r="B16" s="37" t="s">
        <v>70</v>
      </c>
      <c r="C16" s="37"/>
      <c r="D16" s="37"/>
      <c r="E16" s="38"/>
      <c r="F16" s="38">
        <f>+F5</f>
        <v>22.7</v>
      </c>
      <c r="G16" s="38"/>
      <c r="I16" s="42"/>
      <c r="J16" s="41" t="str">
        <f>+'Version information'!$I$4</f>
        <v>Step 3</v>
      </c>
      <c r="K16" s="43" t="str">
        <f>+'Version information'!$L$4</f>
        <v>Setup and Configuration</v>
      </c>
      <c r="L16" s="38"/>
      <c r="M16" s="42"/>
      <c r="N16" s="42"/>
      <c r="O16" s="42"/>
    </row>
    <row r="17" spans="1:34" x14ac:dyDescent="0.45">
      <c r="A17" s="37"/>
      <c r="B17" s="48" t="s">
        <v>79</v>
      </c>
      <c r="C17" s="49"/>
      <c r="D17" s="45"/>
      <c r="E17" s="45"/>
      <c r="F17" s="44" t="str">
        <f>VLOOKUP(B17,'Version information'!S2:T10,2,FALSE)</f>
        <v xml:space="preserve">           x.x Hrs</v>
      </c>
      <c r="I17" s="42"/>
      <c r="J17" s="37"/>
      <c r="K17" s="42" t="str">
        <f>+'Version information'!$K$4</f>
        <v>Core Activities</v>
      </c>
      <c r="L17" s="42"/>
      <c r="M17" s="38"/>
      <c r="N17" s="38">
        <v>1</v>
      </c>
      <c r="O17" s="42"/>
    </row>
    <row r="18" spans="1:34" x14ac:dyDescent="0.45">
      <c r="A18" s="37"/>
      <c r="B18" s="37" t="s">
        <v>71</v>
      </c>
      <c r="C18" s="37"/>
      <c r="D18" s="37"/>
      <c r="E18" s="38"/>
      <c r="F18" s="38">
        <f>+F6</f>
        <v>2</v>
      </c>
      <c r="G18" s="38"/>
      <c r="I18" s="42"/>
      <c r="J18" s="37"/>
      <c r="K18" s="42" t="str">
        <f>+$A$45</f>
        <v>Exchange Online</v>
      </c>
      <c r="L18" s="42"/>
      <c r="M18" s="38"/>
      <c r="N18" s="38">
        <f>+F49</f>
        <v>1</v>
      </c>
      <c r="O18" s="42"/>
    </row>
    <row r="19" spans="1:34" x14ac:dyDescent="0.45">
      <c r="A19" s="37"/>
      <c r="B19" s="37" t="s">
        <v>64</v>
      </c>
      <c r="C19" s="37"/>
      <c r="D19" s="37"/>
      <c r="E19" s="38"/>
      <c r="F19" s="38">
        <f>+F7</f>
        <v>2</v>
      </c>
      <c r="G19" s="38"/>
      <c r="I19" s="42"/>
      <c r="J19" s="37"/>
      <c r="K19" s="42" t="str">
        <f>+$I$45</f>
        <v>SharePoint Online</v>
      </c>
      <c r="L19" s="42"/>
      <c r="M19" s="38"/>
      <c r="N19" s="38">
        <f>+N49</f>
        <v>1</v>
      </c>
      <c r="O19" s="42"/>
    </row>
    <row r="20" spans="1:34" ht="19.8" thickBot="1" x14ac:dyDescent="0.5">
      <c r="A20" s="37"/>
      <c r="B20" s="37" t="s">
        <v>2</v>
      </c>
      <c r="C20" s="37"/>
      <c r="D20" s="37"/>
      <c r="E20" s="39"/>
      <c r="F20" s="39">
        <f>+F8</f>
        <v>2</v>
      </c>
      <c r="G20" s="40" t="s">
        <v>3</v>
      </c>
      <c r="I20" s="42"/>
      <c r="J20" s="37"/>
      <c r="K20" s="42" t="str">
        <f>+$Q$45</f>
        <v>Teams</v>
      </c>
      <c r="L20" s="42"/>
      <c r="M20" s="38"/>
      <c r="N20" s="38">
        <f>+V49</f>
        <v>1</v>
      </c>
      <c r="O20" s="42"/>
    </row>
    <row r="21" spans="1:34" x14ac:dyDescent="0.45">
      <c r="B21" s="41" t="s">
        <v>4</v>
      </c>
      <c r="C21" s="42"/>
      <c r="D21" s="42"/>
      <c r="E21" s="38"/>
      <c r="F21" s="40">
        <f>SUM(F15:F20)</f>
        <v>30.2</v>
      </c>
      <c r="G21" s="42"/>
      <c r="I21" s="42"/>
      <c r="J21" s="37"/>
      <c r="K21" s="42" t="str">
        <f>+$Y$45</f>
        <v>Insider Risk Management</v>
      </c>
      <c r="L21" s="42"/>
      <c r="M21" s="42"/>
      <c r="N21" s="38">
        <f>+AD49</f>
        <v>2</v>
      </c>
      <c r="O21" s="42"/>
    </row>
    <row r="22" spans="1:34" x14ac:dyDescent="0.45">
      <c r="I22" s="42"/>
      <c r="J22" s="41" t="str">
        <f>+'Version information'!$I$5</f>
        <v>Step 4</v>
      </c>
      <c r="K22" s="43" t="str">
        <f>+'Version information'!$L$5</f>
        <v>Analyze the findings</v>
      </c>
      <c r="L22" s="38"/>
      <c r="M22" s="42"/>
      <c r="N22" s="42"/>
      <c r="O22" s="42"/>
    </row>
    <row r="23" spans="1:34" x14ac:dyDescent="0.45">
      <c r="I23" s="42"/>
      <c r="J23" s="37"/>
      <c r="K23" s="42" t="str">
        <f>+'Version information'!$K$5</f>
        <v>Core Activities</v>
      </c>
      <c r="L23" s="42"/>
      <c r="M23" s="38"/>
      <c r="N23" s="38">
        <v>0</v>
      </c>
      <c r="O23" s="42"/>
    </row>
    <row r="24" spans="1:34" x14ac:dyDescent="0.45">
      <c r="B24" s="4"/>
      <c r="I24" s="42"/>
      <c r="J24" s="37"/>
      <c r="K24" s="42" t="str">
        <f>+$A$45</f>
        <v>Exchange Online</v>
      </c>
      <c r="L24" s="42"/>
      <c r="M24" s="38"/>
      <c r="N24" s="38">
        <f>+F50</f>
        <v>1</v>
      </c>
      <c r="O24" s="42"/>
    </row>
    <row r="25" spans="1:34" x14ac:dyDescent="0.45">
      <c r="I25" s="42"/>
      <c r="J25" s="37"/>
      <c r="K25" s="42" t="str">
        <f>+$I$45</f>
        <v>SharePoint Online</v>
      </c>
      <c r="L25" s="42"/>
      <c r="M25" s="38"/>
      <c r="N25" s="38">
        <f>+N50</f>
        <v>1</v>
      </c>
      <c r="O25" s="42"/>
      <c r="AF25" s="8"/>
      <c r="AG25" s="8"/>
      <c r="AH25" s="18"/>
    </row>
    <row r="26" spans="1:34" x14ac:dyDescent="0.45">
      <c r="I26" s="42"/>
      <c r="J26" s="37"/>
      <c r="K26" s="42" t="str">
        <f>+$Q$45</f>
        <v>Teams</v>
      </c>
      <c r="L26" s="42"/>
      <c r="M26" s="38"/>
      <c r="N26" s="38">
        <f>+V50</f>
        <v>1</v>
      </c>
      <c r="O26" s="42"/>
      <c r="AF26" s="8"/>
      <c r="AG26" s="8"/>
      <c r="AH26" s="18"/>
    </row>
    <row r="27" spans="1:34" x14ac:dyDescent="0.45">
      <c r="I27" s="42"/>
      <c r="J27" s="37"/>
      <c r="K27" s="42" t="str">
        <f>+$Y$45</f>
        <v>Insider Risk Management</v>
      </c>
      <c r="L27" s="42"/>
      <c r="M27" s="42"/>
      <c r="N27" s="38">
        <f>+AD50</f>
        <v>1.5</v>
      </c>
      <c r="O27" s="42"/>
      <c r="AF27" s="8"/>
      <c r="AG27" s="8"/>
      <c r="AH27" s="18"/>
    </row>
    <row r="28" spans="1:34" x14ac:dyDescent="0.45">
      <c r="I28" s="42"/>
      <c r="J28" s="41" t="str">
        <f>+'Version information'!$I$6</f>
        <v>Step 5</v>
      </c>
      <c r="K28" s="43" t="str">
        <f>+'Version information'!$L$6</f>
        <v>Report and recommendations write-up</v>
      </c>
      <c r="L28" s="38"/>
      <c r="M28" s="42"/>
      <c r="N28" s="42"/>
      <c r="O28" s="42"/>
      <c r="AF28" s="8"/>
      <c r="AG28" s="8"/>
      <c r="AH28" s="18"/>
    </row>
    <row r="29" spans="1:34" x14ac:dyDescent="0.45">
      <c r="I29" s="42"/>
      <c r="J29" s="37"/>
      <c r="K29" s="42" t="str">
        <f>+'Version information'!$K$6</f>
        <v>Core Activities</v>
      </c>
      <c r="L29" s="42"/>
      <c r="M29" s="38"/>
      <c r="N29" s="38">
        <v>1.5</v>
      </c>
      <c r="O29" s="42"/>
      <c r="AF29" s="8"/>
      <c r="AG29" s="8"/>
      <c r="AH29" s="18"/>
    </row>
    <row r="30" spans="1:34" x14ac:dyDescent="0.45">
      <c r="I30" s="42"/>
      <c r="J30" s="37"/>
      <c r="K30" s="42" t="str">
        <f>+$A$45</f>
        <v>Exchange Online</v>
      </c>
      <c r="L30" s="42"/>
      <c r="M30" s="38"/>
      <c r="N30" s="38">
        <f>+F51</f>
        <v>1</v>
      </c>
      <c r="O30" s="42"/>
      <c r="AF30" s="8"/>
      <c r="AG30" s="8"/>
      <c r="AH30" s="18"/>
    </row>
    <row r="31" spans="1:34" x14ac:dyDescent="0.45">
      <c r="I31" s="42"/>
      <c r="J31" s="37"/>
      <c r="K31" s="42" t="str">
        <f>+$I$45</f>
        <v>SharePoint Online</v>
      </c>
      <c r="L31" s="42"/>
      <c r="M31" s="38"/>
      <c r="N31" s="38">
        <f>+N51</f>
        <v>1</v>
      </c>
      <c r="O31" s="42"/>
      <c r="AF31" s="8"/>
      <c r="AG31" s="8"/>
      <c r="AH31" s="18"/>
    </row>
    <row r="32" spans="1:34" x14ac:dyDescent="0.45">
      <c r="I32" s="42"/>
      <c r="J32" s="37"/>
      <c r="K32" s="42" t="str">
        <f>+$Q$45</f>
        <v>Teams</v>
      </c>
      <c r="L32" s="42"/>
      <c r="M32" s="38"/>
      <c r="N32" s="38">
        <f>+V51</f>
        <v>1</v>
      </c>
      <c r="O32" s="42"/>
    </row>
    <row r="33" spans="1:68" x14ac:dyDescent="0.45">
      <c r="I33" s="42"/>
      <c r="J33" s="37"/>
      <c r="K33" s="42" t="str">
        <f>+$Y$45</f>
        <v>Insider Risk Management</v>
      </c>
      <c r="L33" s="42"/>
      <c r="M33" s="42"/>
      <c r="N33" s="38">
        <f>+AD51</f>
        <v>1</v>
      </c>
      <c r="O33" s="42"/>
    </row>
    <row r="34" spans="1:68" x14ac:dyDescent="0.45">
      <c r="I34" s="42"/>
      <c r="J34" s="41" t="str">
        <f>+'Version information'!$I$7</f>
        <v>Step 6</v>
      </c>
      <c r="K34" s="43" t="str">
        <f>+'Version information'!$L$7</f>
        <v>Decommision</v>
      </c>
      <c r="L34" s="38"/>
      <c r="M34" s="42"/>
      <c r="N34" s="42"/>
      <c r="O34" s="42"/>
      <c r="R34" s="4"/>
    </row>
    <row r="35" spans="1:68" x14ac:dyDescent="0.45">
      <c r="I35" s="42"/>
      <c r="J35" s="37"/>
      <c r="K35" s="42" t="str">
        <f>+'Version information'!$K$7</f>
        <v>Core Activities</v>
      </c>
      <c r="L35" s="42"/>
      <c r="M35" s="38"/>
      <c r="N35" s="38">
        <v>0.2</v>
      </c>
      <c r="O35" s="42"/>
      <c r="R35" s="4"/>
    </row>
    <row r="36" spans="1:68" x14ac:dyDescent="0.45">
      <c r="I36" s="42"/>
      <c r="J36" s="37"/>
      <c r="K36" s="42" t="str">
        <f>+$A$45</f>
        <v>Exchange Online</v>
      </c>
      <c r="L36" s="42"/>
      <c r="M36" s="38"/>
      <c r="N36" s="38">
        <f>+F52</f>
        <v>0.5</v>
      </c>
      <c r="O36" s="42"/>
      <c r="R36" s="4"/>
    </row>
    <row r="37" spans="1:68" x14ac:dyDescent="0.45">
      <c r="I37" s="42"/>
      <c r="J37" s="37"/>
      <c r="K37" s="42" t="str">
        <f>+$I$45</f>
        <v>SharePoint Online</v>
      </c>
      <c r="L37" s="42"/>
      <c r="M37" s="38"/>
      <c r="N37" s="38">
        <f>+N52</f>
        <v>0.5</v>
      </c>
      <c r="O37" s="42"/>
      <c r="R37" s="4"/>
    </row>
    <row r="38" spans="1:68" x14ac:dyDescent="0.45">
      <c r="I38" s="42"/>
      <c r="J38" s="37"/>
      <c r="K38" s="42" t="str">
        <f>+$Q$45</f>
        <v>Teams</v>
      </c>
      <c r="L38" s="42"/>
      <c r="M38" s="38"/>
      <c r="N38" s="38">
        <f>+V52</f>
        <v>0.5</v>
      </c>
      <c r="O38" s="42"/>
      <c r="R38" s="4"/>
    </row>
    <row r="39" spans="1:68" ht="19.8" thickBot="1" x14ac:dyDescent="0.5">
      <c r="I39" s="42"/>
      <c r="J39" s="37"/>
      <c r="K39" s="42" t="str">
        <f>+$Y$45</f>
        <v>Insider Risk Management</v>
      </c>
      <c r="L39" s="42"/>
      <c r="M39" s="42"/>
      <c r="N39" s="39">
        <f>+AD52</f>
        <v>0.5</v>
      </c>
      <c r="O39" s="42" t="s">
        <v>3</v>
      </c>
      <c r="R39" s="4"/>
    </row>
    <row r="40" spans="1:68" x14ac:dyDescent="0.45">
      <c r="I40" s="42"/>
      <c r="J40" s="41" t="s">
        <v>56</v>
      </c>
      <c r="K40" s="42"/>
      <c r="L40" s="42"/>
      <c r="M40" s="38"/>
      <c r="N40" s="40">
        <f>SUM(N4:N39)</f>
        <v>22.7</v>
      </c>
      <c r="O40" s="42"/>
      <c r="R40" s="4"/>
    </row>
    <row r="41" spans="1:68" x14ac:dyDescent="0.45">
      <c r="J41" s="17"/>
      <c r="M41" s="8"/>
      <c r="N41" s="10"/>
      <c r="R41" s="4"/>
    </row>
    <row r="42" spans="1:68" ht="45.75" customHeight="1" x14ac:dyDescent="0.45">
      <c r="A42" s="32"/>
      <c r="B42" s="33"/>
      <c r="C42" s="32"/>
      <c r="D42" s="32"/>
      <c r="E42" s="32"/>
      <c r="F42" s="32"/>
      <c r="G42" s="32"/>
      <c r="H42" s="32"/>
      <c r="I42" s="32"/>
      <c r="J42" s="34"/>
      <c r="K42" s="32"/>
      <c r="L42" s="32"/>
      <c r="M42" s="35"/>
      <c r="N42" s="36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3"/>
      <c r="AA42" s="32"/>
      <c r="AB42" s="32"/>
      <c r="AC42" s="32"/>
      <c r="AD42" s="32"/>
      <c r="AE42" s="32"/>
      <c r="AH42" s="4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</row>
    <row r="43" spans="1:68" x14ac:dyDescent="0.45">
      <c r="AH43" s="4"/>
    </row>
    <row r="44" spans="1:68" x14ac:dyDescent="0.45">
      <c r="A44" s="13" t="s">
        <v>72</v>
      </c>
      <c r="B44" s="13"/>
      <c r="C44" s="13"/>
      <c r="D44" s="13"/>
      <c r="E44" s="13"/>
      <c r="F44" s="13"/>
      <c r="G44" s="13"/>
      <c r="H44" s="14"/>
      <c r="I44" s="13" t="s">
        <v>72</v>
      </c>
      <c r="J44" s="13"/>
      <c r="K44" s="13"/>
      <c r="L44" s="13"/>
      <c r="M44" s="13"/>
      <c r="N44" s="13"/>
      <c r="O44" s="13"/>
      <c r="P44" s="14"/>
      <c r="Q44" s="13" t="s">
        <v>72</v>
      </c>
      <c r="R44" s="13"/>
      <c r="S44" s="13"/>
      <c r="T44" s="13"/>
      <c r="U44" s="13"/>
      <c r="V44" s="13"/>
      <c r="W44" s="13"/>
      <c r="X44" s="14"/>
      <c r="Y44" s="13" t="s">
        <v>72</v>
      </c>
      <c r="Z44" s="13"/>
      <c r="AA44" s="13"/>
      <c r="AB44" s="13"/>
      <c r="AC44" s="13"/>
      <c r="AD44" s="13"/>
      <c r="AE44" s="13"/>
      <c r="AH44" s="4"/>
      <c r="AI44" s="13" t="s">
        <v>91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1:68" x14ac:dyDescent="0.45">
      <c r="A45" s="16" t="s">
        <v>50</v>
      </c>
      <c r="B45" s="16"/>
      <c r="C45" s="16"/>
      <c r="D45" s="16"/>
      <c r="E45" s="16"/>
      <c r="F45" s="16"/>
      <c r="G45" s="16"/>
      <c r="H45" s="14"/>
      <c r="I45" s="16" t="s">
        <v>51</v>
      </c>
      <c r="J45" s="16"/>
      <c r="K45" s="16"/>
      <c r="L45" s="16"/>
      <c r="M45" s="16"/>
      <c r="N45" s="16"/>
      <c r="O45" s="16"/>
      <c r="P45" s="14"/>
      <c r="Q45" s="16" t="s">
        <v>52</v>
      </c>
      <c r="R45" s="16"/>
      <c r="S45" s="16"/>
      <c r="T45" s="16"/>
      <c r="U45" s="16"/>
      <c r="V45" s="16"/>
      <c r="W45" s="16"/>
      <c r="X45" s="14"/>
      <c r="Y45" s="16" t="s">
        <v>74</v>
      </c>
      <c r="Z45" s="16"/>
      <c r="AA45" s="16"/>
      <c r="AB45" s="16"/>
      <c r="AC45" s="16"/>
      <c r="AD45" s="16"/>
      <c r="AE45" s="16"/>
      <c r="AH45" s="4"/>
      <c r="AI45" s="16" t="s">
        <v>55</v>
      </c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68" s="7" customFormat="1" x14ac:dyDescent="0.45">
      <c r="A46" s="5"/>
      <c r="B46" s="12"/>
      <c r="C46" s="5"/>
      <c r="D46" s="6"/>
      <c r="E46" s="6"/>
      <c r="F46" s="19" t="s">
        <v>0</v>
      </c>
      <c r="G46" s="5"/>
      <c r="I46" s="5"/>
      <c r="J46" s="12"/>
      <c r="K46" s="5"/>
      <c r="L46" s="6"/>
      <c r="M46" s="6"/>
      <c r="N46" s="19" t="s">
        <v>0</v>
      </c>
      <c r="O46" s="5"/>
      <c r="Q46" s="5"/>
      <c r="R46" s="12"/>
      <c r="S46" s="5"/>
      <c r="T46" s="6"/>
      <c r="U46" s="6"/>
      <c r="V46" s="19" t="s">
        <v>0</v>
      </c>
      <c r="W46" s="5"/>
      <c r="Y46" s="5"/>
      <c r="Z46" s="12"/>
      <c r="AA46" s="5"/>
      <c r="AB46" s="6"/>
      <c r="AC46" s="6"/>
      <c r="AD46" s="19" t="s">
        <v>0</v>
      </c>
      <c r="AE46" s="5"/>
      <c r="AG46" s="4"/>
      <c r="AH46" s="4"/>
      <c r="AI46" s="20" t="str">
        <f>+$A$57</f>
        <v>Compliance Manager</v>
      </c>
      <c r="AJ46" s="12"/>
      <c r="AK46" s="5"/>
      <c r="AL46" s="6"/>
      <c r="AM46" s="6"/>
      <c r="AN46" s="19" t="s">
        <v>0</v>
      </c>
      <c r="AO46" s="5"/>
      <c r="AP46" s="4"/>
      <c r="AQ46" s="20" t="str">
        <f>+$Q$57</f>
        <v>Windows endpoints</v>
      </c>
      <c r="AR46" s="12"/>
      <c r="AS46" s="5"/>
      <c r="AT46" s="6"/>
      <c r="AU46" s="6"/>
      <c r="AV46" s="19" t="s">
        <v>0</v>
      </c>
      <c r="AW46" s="5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</row>
    <row r="47" spans="1:68" x14ac:dyDescent="0.45">
      <c r="B47" s="14" t="str">
        <f>+'Version information'!$I$2</f>
        <v>Step 1</v>
      </c>
      <c r="C47" s="4" t="str">
        <f>+'Version information'!$J$2</f>
        <v>Additional effort - Kick-off meeting</v>
      </c>
      <c r="E47" s="8"/>
      <c r="F47" s="8">
        <v>0.5</v>
      </c>
      <c r="J47" s="14" t="str">
        <f>+'Version information'!$I$2</f>
        <v>Step 1</v>
      </c>
      <c r="K47" s="4" t="str">
        <f>+'Version information'!$J$2</f>
        <v>Additional effort - Kick-off meeting</v>
      </c>
      <c r="M47" s="8"/>
      <c r="N47" s="8">
        <v>0.5</v>
      </c>
      <c r="R47" s="14" t="str">
        <f>+'Version information'!$I$2</f>
        <v>Step 1</v>
      </c>
      <c r="S47" s="4" t="str">
        <f>+'Version information'!$J$2</f>
        <v>Additional effort - Kick-off meeting</v>
      </c>
      <c r="U47" s="8"/>
      <c r="V47" s="8">
        <v>0.5</v>
      </c>
      <c r="Z47" s="14" t="str">
        <f>+'Version information'!$I$2</f>
        <v>Step 1</v>
      </c>
      <c r="AA47" s="4" t="str">
        <f>+'Version information'!$J$2</f>
        <v>Additional effort - Kick-off meeting</v>
      </c>
      <c r="AC47" s="8"/>
      <c r="AD47" s="8">
        <v>1</v>
      </c>
      <c r="AH47" s="4"/>
      <c r="AJ47" s="17" t="str">
        <f>+'Version information'!$I$2</f>
        <v>Step 1</v>
      </c>
      <c r="AK47" s="7" t="str">
        <f>+'Version information'!$L$2</f>
        <v>Kick-off meeting</v>
      </c>
      <c r="AR47" s="17" t="str">
        <f>+'Version information'!$I$2</f>
        <v>Step 1</v>
      </c>
      <c r="AS47" s="7" t="str">
        <f>+'Version information'!$L$2</f>
        <v>Kick-off meeting</v>
      </c>
    </row>
    <row r="48" spans="1:68" x14ac:dyDescent="0.45">
      <c r="B48" s="14" t="str">
        <f>+'Version information'!$I$3</f>
        <v>Step 2</v>
      </c>
      <c r="C48" s="4" t="str">
        <f>+'Version information'!$J$3</f>
        <v>Additional effort - Acquire and assign licenses</v>
      </c>
      <c r="E48" s="8"/>
      <c r="F48" s="8"/>
      <c r="J48" s="14" t="str">
        <f>+'Version information'!$I$3</f>
        <v>Step 2</v>
      </c>
      <c r="K48" s="4" t="str">
        <f>+'Version information'!$J$3</f>
        <v>Additional effort - Acquire and assign licenses</v>
      </c>
      <c r="M48" s="8"/>
      <c r="N48" s="8"/>
      <c r="R48" s="14" t="str">
        <f>+'Version information'!$I$3</f>
        <v>Step 2</v>
      </c>
      <c r="S48" s="4" t="str">
        <f>+'Version information'!$J$3</f>
        <v>Additional effort - Acquire and assign licenses</v>
      </c>
      <c r="U48" s="8"/>
      <c r="V48" s="8"/>
      <c r="Z48" s="14" t="str">
        <f>+'Version information'!$I$3</f>
        <v>Step 2</v>
      </c>
      <c r="AA48" s="4" t="str">
        <f>+'Version information'!$J$3</f>
        <v>Additional effort - Acquire and assign licenses</v>
      </c>
      <c r="AC48" s="8"/>
      <c r="AD48" s="8"/>
      <c r="AH48" s="4"/>
      <c r="AK48" s="4" t="str">
        <f>CONCATENATE('Version information'!O2,$A$57)</f>
        <v>Additional effort - Compliance Manager</v>
      </c>
      <c r="AM48" s="8"/>
      <c r="AN48" s="8">
        <f>+F59</f>
        <v>0.5</v>
      </c>
      <c r="AS48" s="4" t="str">
        <f>CONCATENATE('Version information'!$O$2,$Q$57)</f>
        <v>Additional effort - Windows endpoints</v>
      </c>
      <c r="AU48" s="8"/>
      <c r="AV48" s="8">
        <f>+V59</f>
        <v>1</v>
      </c>
    </row>
    <row r="49" spans="1:49" x14ac:dyDescent="0.45">
      <c r="B49" s="14" t="str">
        <f>+'Version information'!$I$4</f>
        <v>Step 3</v>
      </c>
      <c r="C49" s="4" t="str">
        <f>+'Version information'!$J$4</f>
        <v>Additional effort - Setup and Configuration</v>
      </c>
      <c r="E49" s="8"/>
      <c r="F49" s="8">
        <v>1</v>
      </c>
      <c r="J49" s="14" t="str">
        <f>+'Version information'!$I$4</f>
        <v>Step 3</v>
      </c>
      <c r="K49" s="4" t="str">
        <f>+'Version information'!$J$4</f>
        <v>Additional effort - Setup and Configuration</v>
      </c>
      <c r="M49" s="8"/>
      <c r="N49" s="8">
        <v>1</v>
      </c>
      <c r="R49" s="14" t="str">
        <f>+'Version information'!$I$4</f>
        <v>Step 3</v>
      </c>
      <c r="S49" s="4" t="str">
        <f>+'Version information'!$J$4</f>
        <v>Additional effort - Setup and Configuration</v>
      </c>
      <c r="U49" s="8"/>
      <c r="V49" s="8">
        <v>1</v>
      </c>
      <c r="Z49" s="14" t="str">
        <f>+'Version information'!$I$4</f>
        <v>Step 3</v>
      </c>
      <c r="AA49" s="4" t="str">
        <f>+'Version information'!$J$4</f>
        <v>Additional effort - Setup and Configuration</v>
      </c>
      <c r="AC49" s="8"/>
      <c r="AD49" s="8">
        <v>2</v>
      </c>
      <c r="AH49" s="4"/>
      <c r="AJ49" s="17" t="str">
        <f>+'Version information'!$I$3</f>
        <v>Step 2</v>
      </c>
      <c r="AK49" s="7" t="str">
        <f>+'Version information'!$L$3</f>
        <v>Acquire and assign licenses</v>
      </c>
      <c r="AR49" s="17" t="str">
        <f>+'Version information'!$I$3</f>
        <v>Step 2</v>
      </c>
      <c r="AS49" s="7" t="str">
        <f>+'Version information'!$L$3</f>
        <v>Acquire and assign licenses</v>
      </c>
    </row>
    <row r="50" spans="1:49" x14ac:dyDescent="0.45">
      <c r="B50" s="14" t="str">
        <f>+'Version information'!$I$5</f>
        <v>Step 4</v>
      </c>
      <c r="C50" s="4" t="str">
        <f>+'Version information'!$J$5</f>
        <v>Additional effort - Analyze the findings</v>
      </c>
      <c r="E50" s="8"/>
      <c r="F50" s="8">
        <v>1</v>
      </c>
      <c r="J50" s="14" t="str">
        <f>+'Version information'!$I$5</f>
        <v>Step 4</v>
      </c>
      <c r="K50" s="4" t="str">
        <f>+'Version information'!$J$5</f>
        <v>Additional effort - Analyze the findings</v>
      </c>
      <c r="M50" s="8"/>
      <c r="N50" s="8">
        <v>1</v>
      </c>
      <c r="R50" s="14" t="str">
        <f>+'Version information'!$I$5</f>
        <v>Step 4</v>
      </c>
      <c r="S50" s="4" t="str">
        <f>+'Version information'!$J$5</f>
        <v>Additional effort - Analyze the findings</v>
      </c>
      <c r="U50" s="8"/>
      <c r="V50" s="8">
        <v>1</v>
      </c>
      <c r="Z50" s="14" t="str">
        <f>+'Version information'!$I$5</f>
        <v>Step 4</v>
      </c>
      <c r="AA50" s="4" t="str">
        <f>+'Version information'!$J$5</f>
        <v>Additional effort - Analyze the findings</v>
      </c>
      <c r="AC50" s="8"/>
      <c r="AD50" s="8">
        <v>1.5</v>
      </c>
      <c r="AH50" s="4"/>
      <c r="AK50" s="4" t="str">
        <f>CONCATENATE('Version information'!O2,$A$57)</f>
        <v>Additional effort - Compliance Manager</v>
      </c>
      <c r="AM50" s="8"/>
      <c r="AN50" s="8">
        <f>+F60</f>
        <v>0</v>
      </c>
      <c r="AS50" s="4" t="str">
        <f>CONCATENATE('Version information'!$O$2,$Q$57)</f>
        <v>Additional effort - Windows endpoints</v>
      </c>
      <c r="AU50" s="8"/>
      <c r="AV50" s="8">
        <f>+V60</f>
        <v>0</v>
      </c>
    </row>
    <row r="51" spans="1:49" x14ac:dyDescent="0.45">
      <c r="B51" s="14" t="str">
        <f>+'Version information'!$I$6</f>
        <v>Step 5</v>
      </c>
      <c r="C51" s="4" t="str">
        <f>+'Version information'!$J$6</f>
        <v>Additional effort - Report and recommendations write-up</v>
      </c>
      <c r="E51" s="8"/>
      <c r="F51" s="8">
        <v>1</v>
      </c>
      <c r="J51" s="14" t="str">
        <f>+'Version information'!$I$6</f>
        <v>Step 5</v>
      </c>
      <c r="K51" s="4" t="str">
        <f>+'Version information'!$J$6</f>
        <v>Additional effort - Report and recommendations write-up</v>
      </c>
      <c r="M51" s="8"/>
      <c r="N51" s="8">
        <v>1</v>
      </c>
      <c r="R51" s="14" t="str">
        <f>+'Version information'!$I$6</f>
        <v>Step 5</v>
      </c>
      <c r="S51" s="4" t="str">
        <f>+'Version information'!$J$6</f>
        <v>Additional effort - Report and recommendations write-up</v>
      </c>
      <c r="U51" s="8"/>
      <c r="V51" s="8">
        <v>1</v>
      </c>
      <c r="Z51" s="14" t="str">
        <f>+'Version information'!$I$6</f>
        <v>Step 5</v>
      </c>
      <c r="AA51" s="4" t="str">
        <f>+'Version information'!$J$6</f>
        <v>Additional effort - Report and recommendations write-up</v>
      </c>
      <c r="AC51" s="8"/>
      <c r="AD51" s="8">
        <v>1</v>
      </c>
      <c r="AH51" s="4"/>
      <c r="AJ51" s="17" t="str">
        <f>+'Version information'!$I$4</f>
        <v>Step 3</v>
      </c>
      <c r="AK51" s="7" t="str">
        <f>+'Version information'!$L$4</f>
        <v>Setup and Configuration</v>
      </c>
      <c r="AR51" s="17" t="str">
        <f>+'Version information'!$I$4</f>
        <v>Step 3</v>
      </c>
      <c r="AS51" s="7" t="str">
        <f>+'Version information'!$L$4</f>
        <v>Setup and Configuration</v>
      </c>
    </row>
    <row r="52" spans="1:49" x14ac:dyDescent="0.45">
      <c r="B52" s="14" t="str">
        <f>+'Version information'!$I$7</f>
        <v>Step 6</v>
      </c>
      <c r="C52" s="4" t="str">
        <f>+'Version information'!$J$7</f>
        <v>Additional effort - Decommision</v>
      </c>
      <c r="E52" s="8"/>
      <c r="F52" s="8">
        <v>0.5</v>
      </c>
      <c r="J52" s="14" t="str">
        <f>+'Version information'!$I$7</f>
        <v>Step 6</v>
      </c>
      <c r="K52" s="4" t="str">
        <f>+'Version information'!$J$7</f>
        <v>Additional effort - Decommision</v>
      </c>
      <c r="M52" s="8"/>
      <c r="N52" s="8">
        <v>0.5</v>
      </c>
      <c r="R52" s="14" t="str">
        <f>+'Version information'!$I$7</f>
        <v>Step 6</v>
      </c>
      <c r="S52" s="4" t="str">
        <f>+'Version information'!$J$7</f>
        <v>Additional effort - Decommision</v>
      </c>
      <c r="U52" s="8"/>
      <c r="V52" s="8">
        <v>0.5</v>
      </c>
      <c r="Z52" s="14" t="str">
        <f>+'Version information'!$I$7</f>
        <v>Step 6</v>
      </c>
      <c r="AA52" s="4" t="str">
        <f>+'Version information'!$J$7</f>
        <v>Additional effort - Decommision</v>
      </c>
      <c r="AC52" s="8"/>
      <c r="AD52" s="8">
        <v>0.5</v>
      </c>
      <c r="AH52" s="4"/>
      <c r="AK52" s="4" t="str">
        <f>CONCATENATE('Version information'!O2,$A$57)</f>
        <v>Additional effort - Compliance Manager</v>
      </c>
      <c r="AM52" s="8"/>
      <c r="AN52" s="8">
        <f>+F61</f>
        <v>1</v>
      </c>
      <c r="AS52" s="4" t="str">
        <f>CONCATENATE('Version information'!$O$2,$Q$57)</f>
        <v>Additional effort - Windows endpoints</v>
      </c>
      <c r="AU52" s="8"/>
      <c r="AV52" s="8">
        <f>+V61</f>
        <v>4.5</v>
      </c>
    </row>
    <row r="53" spans="1:49" ht="19.8" thickBot="1" x14ac:dyDescent="0.5">
      <c r="F53" s="9"/>
      <c r="G53" s="4" t="s">
        <v>3</v>
      </c>
      <c r="N53" s="9"/>
      <c r="O53" s="4" t="s">
        <v>3</v>
      </c>
      <c r="V53" s="9"/>
      <c r="W53" s="4" t="s">
        <v>3</v>
      </c>
      <c r="AD53" s="9"/>
      <c r="AE53" s="4" t="s">
        <v>3</v>
      </c>
      <c r="AH53" s="4"/>
      <c r="AJ53" s="17" t="str">
        <f>+'Version information'!$I$5</f>
        <v>Step 4</v>
      </c>
      <c r="AK53" s="7" t="str">
        <f>+'Version information'!$L$5</f>
        <v>Analyze the findings</v>
      </c>
      <c r="AR53" s="17" t="str">
        <f>+'Version information'!$I$5</f>
        <v>Step 4</v>
      </c>
      <c r="AS53" s="7" t="str">
        <f>+'Version information'!$L$5</f>
        <v>Analyze the findings</v>
      </c>
    </row>
    <row r="54" spans="1:49" x14ac:dyDescent="0.45">
      <c r="B54" s="17" t="s">
        <v>53</v>
      </c>
      <c r="E54" s="8"/>
      <c r="F54" s="10">
        <f>SUM(F47:F53)</f>
        <v>4</v>
      </c>
      <c r="J54" s="17" t="s">
        <v>53</v>
      </c>
      <c r="M54" s="8"/>
      <c r="N54" s="10">
        <f>SUM(N47:N53)</f>
        <v>4</v>
      </c>
      <c r="R54" s="17" t="s">
        <v>53</v>
      </c>
      <c r="U54" s="8"/>
      <c r="V54" s="10">
        <f>SUM(V47:V53)</f>
        <v>4</v>
      </c>
      <c r="Z54" s="17" t="s">
        <v>53</v>
      </c>
      <c r="AC54" s="8"/>
      <c r="AD54" s="10">
        <f>SUM(AD47:AD53)</f>
        <v>6</v>
      </c>
      <c r="AH54" s="4"/>
      <c r="AK54" s="4" t="str">
        <f>CONCATENATE('Version information'!O2,$A$57)</f>
        <v>Additional effort - Compliance Manager</v>
      </c>
      <c r="AM54" s="8"/>
      <c r="AN54" s="8">
        <f>+F62</f>
        <v>1</v>
      </c>
      <c r="AS54" s="4" t="str">
        <f>CONCATENATE('Version information'!$O$2,$Q$57)</f>
        <v>Additional effort - Windows endpoints</v>
      </c>
      <c r="AU54" s="8"/>
      <c r="AV54" s="8">
        <f>+V62</f>
        <v>1</v>
      </c>
    </row>
    <row r="55" spans="1:49" x14ac:dyDescent="0.45">
      <c r="E55" s="8"/>
      <c r="F55" s="8"/>
      <c r="M55" s="8"/>
      <c r="N55" s="8"/>
      <c r="U55" s="8"/>
      <c r="V55" s="8"/>
      <c r="AC55" s="8"/>
      <c r="AD55" s="8"/>
      <c r="AH55" s="4"/>
      <c r="AJ55" s="17" t="str">
        <f>+'Version information'!$I$6</f>
        <v>Step 5</v>
      </c>
      <c r="AK55" s="7" t="str">
        <f>+'Version information'!$L$6</f>
        <v>Report and recommendations write-up</v>
      </c>
      <c r="AR55" s="17" t="str">
        <f>+'Version information'!$I$6</f>
        <v>Step 5</v>
      </c>
      <c r="AS55" s="7" t="str">
        <f>+'Version information'!$L$6</f>
        <v>Report and recommendations write-up</v>
      </c>
    </row>
    <row r="56" spans="1:49" x14ac:dyDescent="0.45">
      <c r="A56" s="15" t="s">
        <v>73</v>
      </c>
      <c r="B56" s="15"/>
      <c r="C56" s="15"/>
      <c r="D56" s="15"/>
      <c r="E56" s="15"/>
      <c r="F56" s="15"/>
      <c r="G56" s="15"/>
      <c r="H56" s="14"/>
      <c r="I56" s="15" t="s">
        <v>73</v>
      </c>
      <c r="J56" s="15"/>
      <c r="K56" s="15"/>
      <c r="L56" s="15"/>
      <c r="M56" s="15"/>
      <c r="N56" s="15"/>
      <c r="O56" s="15"/>
      <c r="Q56" s="15" t="s">
        <v>73</v>
      </c>
      <c r="R56" s="15"/>
      <c r="S56" s="15"/>
      <c r="T56" s="15"/>
      <c r="U56" s="15"/>
      <c r="V56" s="15"/>
      <c r="W56" s="15"/>
      <c r="X56" s="14"/>
      <c r="Y56" s="15" t="s">
        <v>73</v>
      </c>
      <c r="Z56" s="15"/>
      <c r="AA56" s="15"/>
      <c r="AB56" s="15"/>
      <c r="AC56" s="15"/>
      <c r="AD56" s="15"/>
      <c r="AE56" s="15"/>
      <c r="AH56" s="4"/>
      <c r="AK56" s="4" t="str">
        <f>CONCATENATE('Version information'!O2,$A$57)</f>
        <v>Additional effort - Compliance Manager</v>
      </c>
      <c r="AM56" s="8"/>
      <c r="AN56" s="8">
        <f>+F63</f>
        <v>1</v>
      </c>
      <c r="AS56" s="4" t="str">
        <f>CONCATENATE('Version information'!$O$2,$Q$57)</f>
        <v>Additional effort - Windows endpoints</v>
      </c>
      <c r="AU56" s="8"/>
      <c r="AV56" s="8">
        <f>+V63</f>
        <v>1</v>
      </c>
    </row>
    <row r="57" spans="1:49" x14ac:dyDescent="0.45">
      <c r="A57" s="16" t="s">
        <v>75</v>
      </c>
      <c r="B57" s="16"/>
      <c r="C57" s="16"/>
      <c r="D57" s="16"/>
      <c r="E57" s="16"/>
      <c r="F57" s="16"/>
      <c r="G57" s="16"/>
      <c r="H57" s="14"/>
      <c r="I57" s="16" t="s">
        <v>76</v>
      </c>
      <c r="J57" s="16"/>
      <c r="K57" s="16"/>
      <c r="L57" s="16"/>
      <c r="M57" s="16"/>
      <c r="N57" s="16"/>
      <c r="O57" s="16"/>
      <c r="Q57" s="16" t="s">
        <v>77</v>
      </c>
      <c r="R57" s="16"/>
      <c r="S57" s="16"/>
      <c r="T57" s="16"/>
      <c r="U57" s="16"/>
      <c r="V57" s="16"/>
      <c r="W57" s="16"/>
      <c r="X57" s="14"/>
      <c r="Y57" s="16" t="s">
        <v>78</v>
      </c>
      <c r="Z57" s="16"/>
      <c r="AA57" s="16"/>
      <c r="AB57" s="16"/>
      <c r="AC57" s="16"/>
      <c r="AD57" s="16"/>
      <c r="AE57" s="16"/>
      <c r="AH57" s="4"/>
      <c r="AJ57" s="17" t="str">
        <f>+'Version information'!$I$7</f>
        <v>Step 6</v>
      </c>
      <c r="AK57" s="7" t="str">
        <f>+'Version information'!$L$7</f>
        <v>Decommision</v>
      </c>
      <c r="AR57" s="17" t="str">
        <f>+'Version information'!$I$7</f>
        <v>Step 6</v>
      </c>
      <c r="AS57" s="7" t="str">
        <f>+'Version information'!$L$7</f>
        <v>Decommision</v>
      </c>
    </row>
    <row r="58" spans="1:49" x14ac:dyDescent="0.45">
      <c r="A58" s="5"/>
      <c r="B58" s="12"/>
      <c r="C58" s="5"/>
      <c r="D58" s="6"/>
      <c r="E58" s="6"/>
      <c r="F58" s="6" t="s">
        <v>0</v>
      </c>
      <c r="G58" s="5"/>
      <c r="H58" s="7"/>
      <c r="I58" s="5"/>
      <c r="J58" s="12"/>
      <c r="K58" s="5"/>
      <c r="L58" s="6"/>
      <c r="M58" s="6"/>
      <c r="N58" s="19" t="s">
        <v>0</v>
      </c>
      <c r="O58" s="5"/>
      <c r="Q58" s="5"/>
      <c r="R58" s="12"/>
      <c r="S58" s="5"/>
      <c r="T58" s="6"/>
      <c r="U58" s="6"/>
      <c r="V58" s="6" t="s">
        <v>0</v>
      </c>
      <c r="W58" s="5"/>
      <c r="X58" s="7"/>
      <c r="Y58" s="5"/>
      <c r="Z58" s="12"/>
      <c r="AA58" s="5"/>
      <c r="AB58" s="6"/>
      <c r="AC58" s="6"/>
      <c r="AD58" s="19" t="s">
        <v>0</v>
      </c>
      <c r="AE58" s="5"/>
      <c r="AH58" s="4"/>
      <c r="AK58" s="4" t="str">
        <f>CONCATENATE('Version information'!O2,$A$57)</f>
        <v>Additional effort - Compliance Manager</v>
      </c>
      <c r="AM58" s="8"/>
      <c r="AN58" s="8">
        <f>+F64</f>
        <v>0.5</v>
      </c>
      <c r="AS58" s="4" t="str">
        <f>CONCATENATE('Version information'!$O$2,$Q$57)</f>
        <v>Additional effort - Windows endpoints</v>
      </c>
      <c r="AU58" s="8"/>
      <c r="AV58" s="8">
        <f>+V64</f>
        <v>0.5</v>
      </c>
    </row>
    <row r="59" spans="1:49" ht="19.8" thickBot="1" x14ac:dyDescent="0.5">
      <c r="B59" s="14" t="str">
        <f>+'Version information'!$I$2</f>
        <v>Step 1</v>
      </c>
      <c r="C59" s="4" t="str">
        <f>+'Version information'!$J$2</f>
        <v>Additional effort - Kick-off meeting</v>
      </c>
      <c r="E59" s="8"/>
      <c r="F59" s="8">
        <v>0.5</v>
      </c>
      <c r="J59" s="14" t="str">
        <f>+'Version information'!$I$2</f>
        <v>Step 1</v>
      </c>
      <c r="K59" s="4" t="str">
        <f>+'Version information'!$J$2</f>
        <v>Additional effort - Kick-off meeting</v>
      </c>
      <c r="M59" s="8"/>
      <c r="N59" s="8">
        <v>0.5</v>
      </c>
      <c r="R59" s="14" t="str">
        <f>+'Version information'!$I$2</f>
        <v>Step 1</v>
      </c>
      <c r="S59" s="4" t="str">
        <f>+'Version information'!$J$2</f>
        <v>Additional effort - Kick-off meeting</v>
      </c>
      <c r="U59" s="8"/>
      <c r="V59" s="8">
        <v>1</v>
      </c>
      <c r="Z59" s="14" t="str">
        <f>+'Version information'!$I$2</f>
        <v>Step 1</v>
      </c>
      <c r="AA59" s="4" t="str">
        <f>+'Version information'!$J$2</f>
        <v>Additional effort - Kick-off meeting</v>
      </c>
      <c r="AC59" s="8"/>
      <c r="AD59" s="8">
        <v>0.5</v>
      </c>
      <c r="AH59" s="4"/>
      <c r="AN59" s="9"/>
      <c r="AO59" s="7" t="s">
        <v>3</v>
      </c>
      <c r="AV59" s="9"/>
      <c r="AW59" s="7" t="s">
        <v>3</v>
      </c>
    </row>
    <row r="60" spans="1:49" x14ac:dyDescent="0.45">
      <c r="B60" s="14" t="str">
        <f>+'Version information'!$I$3</f>
        <v>Step 2</v>
      </c>
      <c r="C60" s="4" t="str">
        <f>+'Version information'!$J$3</f>
        <v>Additional effort - Acquire and assign licenses</v>
      </c>
      <c r="E60" s="8"/>
      <c r="F60" s="8"/>
      <c r="J60" s="14" t="str">
        <f>+'Version information'!$I$3</f>
        <v>Step 2</v>
      </c>
      <c r="K60" s="4" t="str">
        <f>+'Version information'!$J$3</f>
        <v>Additional effort - Acquire and assign licenses</v>
      </c>
      <c r="M60" s="8"/>
      <c r="N60" s="8"/>
      <c r="R60" s="14" t="str">
        <f>+'Version information'!$I$3</f>
        <v>Step 2</v>
      </c>
      <c r="S60" s="4" t="str">
        <f>+'Version information'!$J$3</f>
        <v>Additional effort - Acquire and assign licenses</v>
      </c>
      <c r="U60" s="8"/>
      <c r="V60" s="8"/>
      <c r="Z60" s="14" t="str">
        <f>+'Version information'!$I$3</f>
        <v>Step 2</v>
      </c>
      <c r="AA60" s="4" t="str">
        <f>+'Version information'!$J$3</f>
        <v>Additional effort - Acquire and assign licenses</v>
      </c>
      <c r="AC60" s="8"/>
      <c r="AD60" s="8">
        <v>0</v>
      </c>
      <c r="AH60" s="4"/>
      <c r="AJ60" s="17" t="str">
        <f>CONCATENATE("Estimated additional effort - ",A57)</f>
        <v>Estimated additional effort - Compliance Manager</v>
      </c>
      <c r="AN60" s="10">
        <f>SUM(AN47:AN58)</f>
        <v>4</v>
      </c>
      <c r="AR60" s="17" t="str">
        <f>CONCATENATE("Estimated additional effort - ",Q57)</f>
        <v>Estimated additional effort - Windows endpoints</v>
      </c>
      <c r="AV60" s="10">
        <f>SUM(AV47:AV58)</f>
        <v>8</v>
      </c>
    </row>
    <row r="61" spans="1:49" x14ac:dyDescent="0.45">
      <c r="B61" s="14" t="str">
        <f>+'Version information'!$I$4</f>
        <v>Step 3</v>
      </c>
      <c r="C61" s="4" t="str">
        <f>+'Version information'!$J$4</f>
        <v>Additional effort - Setup and Configuration</v>
      </c>
      <c r="E61" s="8"/>
      <c r="F61" s="8">
        <v>1</v>
      </c>
      <c r="J61" s="14" t="str">
        <f>+'Version information'!$I$4</f>
        <v>Step 3</v>
      </c>
      <c r="K61" s="4" t="str">
        <f>+'Version information'!$J$4</f>
        <v>Additional effort - Setup and Configuration</v>
      </c>
      <c r="M61" s="8"/>
      <c r="N61" s="8">
        <v>4</v>
      </c>
      <c r="R61" s="14" t="str">
        <f>+'Version information'!$I$4</f>
        <v>Step 3</v>
      </c>
      <c r="S61" s="4" t="str">
        <f>+'Version information'!$J$4</f>
        <v>Additional effort - Setup and Configuration</v>
      </c>
      <c r="U61" s="8"/>
      <c r="V61" s="8">
        <v>4.5</v>
      </c>
      <c r="Z61" s="14" t="str">
        <f>+'Version information'!$I$4</f>
        <v>Step 3</v>
      </c>
      <c r="AA61" s="4" t="str">
        <f>+'Version information'!$J$4</f>
        <v>Additional effort - Setup and Configuration</v>
      </c>
      <c r="AC61" s="8"/>
      <c r="AD61" s="8">
        <v>1</v>
      </c>
      <c r="AH61" s="4"/>
    </row>
    <row r="62" spans="1:49" x14ac:dyDescent="0.45">
      <c r="B62" s="14" t="str">
        <f>+'Version information'!$I$5</f>
        <v>Step 4</v>
      </c>
      <c r="C62" s="4" t="str">
        <f>+'Version information'!$J$5</f>
        <v>Additional effort - Analyze the findings</v>
      </c>
      <c r="E62" s="8"/>
      <c r="F62" s="8">
        <v>1</v>
      </c>
      <c r="J62" s="14" t="str">
        <f>+'Version information'!$I$5</f>
        <v>Step 4</v>
      </c>
      <c r="K62" s="4" t="str">
        <f>+'Version information'!$J$5</f>
        <v>Additional effort - Analyze the findings</v>
      </c>
      <c r="M62" s="8"/>
      <c r="N62" s="8">
        <v>1.5</v>
      </c>
      <c r="R62" s="14" t="str">
        <f>+'Version information'!$I$5</f>
        <v>Step 4</v>
      </c>
      <c r="S62" s="4" t="str">
        <f>+'Version information'!$J$5</f>
        <v>Additional effort - Analyze the findings</v>
      </c>
      <c r="U62" s="8"/>
      <c r="V62" s="8">
        <v>1</v>
      </c>
      <c r="Z62" s="14" t="str">
        <f>+'Version information'!$I$5</f>
        <v>Step 4</v>
      </c>
      <c r="AA62" s="4" t="str">
        <f>+'Version information'!$J$5</f>
        <v>Additional effort - Analyze the findings</v>
      </c>
      <c r="AC62" s="8"/>
      <c r="AD62" s="8">
        <v>1</v>
      </c>
      <c r="AH62" s="4"/>
      <c r="AI62" s="20" t="str">
        <f>+$I$57</f>
        <v>On-premises data scanner</v>
      </c>
      <c r="AJ62" s="12"/>
      <c r="AK62" s="5"/>
      <c r="AL62" s="6"/>
      <c r="AM62" s="6"/>
      <c r="AN62" s="19" t="s">
        <v>0</v>
      </c>
      <c r="AO62" s="5"/>
      <c r="AQ62" s="20" t="str">
        <f>+$Y$57</f>
        <v>Communication Compliance</v>
      </c>
      <c r="AR62" s="12"/>
      <c r="AS62" s="5"/>
      <c r="AT62" s="6"/>
      <c r="AU62" s="6"/>
      <c r="AV62" s="19" t="s">
        <v>0</v>
      </c>
      <c r="AW62" s="5"/>
    </row>
    <row r="63" spans="1:49" x14ac:dyDescent="0.45">
      <c r="B63" s="14" t="str">
        <f>+'Version information'!$I$6</f>
        <v>Step 5</v>
      </c>
      <c r="C63" s="4" t="str">
        <f>+'Version information'!$J$6</f>
        <v>Additional effort - Report and recommendations write-up</v>
      </c>
      <c r="E63" s="8"/>
      <c r="F63" s="8">
        <v>1</v>
      </c>
      <c r="J63" s="14" t="str">
        <f>+'Version information'!$I$6</f>
        <v>Step 5</v>
      </c>
      <c r="K63" s="4" t="str">
        <f>+'Version information'!$J$6</f>
        <v>Additional effort - Report and recommendations write-up</v>
      </c>
      <c r="M63" s="8"/>
      <c r="N63" s="8">
        <v>1.5</v>
      </c>
      <c r="R63" s="14" t="str">
        <f>+'Version information'!$I$6</f>
        <v>Step 5</v>
      </c>
      <c r="S63" s="4" t="str">
        <f>+'Version information'!$J$6</f>
        <v>Additional effort - Report and recommendations write-up</v>
      </c>
      <c r="U63" s="8"/>
      <c r="V63" s="8">
        <v>1</v>
      </c>
      <c r="Z63" s="14" t="str">
        <f>+'Version information'!$I$6</f>
        <v>Step 5</v>
      </c>
      <c r="AA63" s="4" t="str">
        <f>+'Version information'!$J$6</f>
        <v>Additional effort - Report and recommendations write-up</v>
      </c>
      <c r="AC63" s="8"/>
      <c r="AD63" s="8">
        <v>1</v>
      </c>
      <c r="AH63" s="4"/>
      <c r="AJ63" s="17" t="str">
        <f>+'Version information'!$I$2</f>
        <v>Step 1</v>
      </c>
      <c r="AK63" s="7" t="str">
        <f>+'Version information'!$L$2</f>
        <v>Kick-off meeting</v>
      </c>
      <c r="AR63" s="17" t="str">
        <f>+'Version information'!$I$2</f>
        <v>Step 1</v>
      </c>
      <c r="AS63" s="7" t="str">
        <f>+'Version information'!$L$2</f>
        <v>Kick-off meeting</v>
      </c>
    </row>
    <row r="64" spans="1:49" x14ac:dyDescent="0.45">
      <c r="B64" s="14" t="str">
        <f>+'Version information'!$I$7</f>
        <v>Step 6</v>
      </c>
      <c r="C64" s="4" t="str">
        <f>+'Version information'!$J$7</f>
        <v>Additional effort - Decommision</v>
      </c>
      <c r="E64" s="8"/>
      <c r="F64" s="8">
        <v>0.5</v>
      </c>
      <c r="J64" s="14" t="str">
        <f>+'Version information'!$I$7</f>
        <v>Step 6</v>
      </c>
      <c r="K64" s="4" t="str">
        <f>+'Version information'!$J$7</f>
        <v>Additional effort - Decommision</v>
      </c>
      <c r="M64" s="8"/>
      <c r="N64" s="8">
        <v>0.5</v>
      </c>
      <c r="R64" s="14" t="str">
        <f>+'Version information'!$I$7</f>
        <v>Step 6</v>
      </c>
      <c r="S64" s="4" t="str">
        <f>+'Version information'!$J$7</f>
        <v>Additional effort - Decommision</v>
      </c>
      <c r="U64" s="8"/>
      <c r="V64" s="8">
        <v>0.5</v>
      </c>
      <c r="Z64" s="14" t="str">
        <f>+'Version information'!$I$7</f>
        <v>Step 6</v>
      </c>
      <c r="AA64" s="4" t="str">
        <f>+'Version information'!$J$7</f>
        <v>Additional effort - Decommision</v>
      </c>
      <c r="AC64" s="8"/>
      <c r="AD64" s="8">
        <v>0.5</v>
      </c>
      <c r="AH64" s="4"/>
      <c r="AK64" s="4" t="str">
        <f>CONCATENATE('Version information'!O2,$I$57)</f>
        <v>Additional effort - On-premises data scanner</v>
      </c>
      <c r="AM64" s="8"/>
      <c r="AN64" s="8">
        <f>+N59</f>
        <v>0.5</v>
      </c>
      <c r="AS64" s="4" t="str">
        <f>CONCATENATE('Version information'!$O$2,$Y$57)</f>
        <v>Additional effort - Communication Compliance</v>
      </c>
      <c r="AU64" s="8"/>
      <c r="AV64" s="8">
        <f>+AD59</f>
        <v>0.5</v>
      </c>
    </row>
    <row r="65" spans="1:49" ht="19.8" thickBot="1" x14ac:dyDescent="0.5">
      <c r="F65" s="9"/>
      <c r="G65" s="4" t="s">
        <v>3</v>
      </c>
      <c r="N65" s="9"/>
      <c r="O65" s="4" t="s">
        <v>3</v>
      </c>
      <c r="V65" s="9"/>
      <c r="W65" s="4" t="s">
        <v>3</v>
      </c>
      <c r="AD65" s="9"/>
      <c r="AE65" s="4" t="s">
        <v>3</v>
      </c>
      <c r="AH65" s="4"/>
      <c r="AJ65" s="17" t="str">
        <f>+'Version information'!$I$3</f>
        <v>Step 2</v>
      </c>
      <c r="AK65" s="7" t="str">
        <f>+'Version information'!$L$3</f>
        <v>Acquire and assign licenses</v>
      </c>
      <c r="AR65" s="17" t="str">
        <f>+'Version information'!$I$3</f>
        <v>Step 2</v>
      </c>
      <c r="AS65" s="7" t="str">
        <f>+'Version information'!$L$3</f>
        <v>Acquire and assign licenses</v>
      </c>
    </row>
    <row r="66" spans="1:49" x14ac:dyDescent="0.45">
      <c r="B66" s="17" t="s">
        <v>53</v>
      </c>
      <c r="E66" s="8"/>
      <c r="F66" s="10">
        <f>SUM(F59:F65)</f>
        <v>4</v>
      </c>
      <c r="J66" s="17" t="s">
        <v>53</v>
      </c>
      <c r="K66" s="11"/>
      <c r="M66" s="8"/>
      <c r="N66" s="10">
        <f>SUM(N59:N64)</f>
        <v>8</v>
      </c>
      <c r="R66" s="17" t="s">
        <v>53</v>
      </c>
      <c r="U66" s="8"/>
      <c r="V66" s="10">
        <f>SUM(V59:V65)</f>
        <v>8</v>
      </c>
      <c r="Z66" s="17" t="s">
        <v>53</v>
      </c>
      <c r="AA66" s="11"/>
      <c r="AC66" s="8"/>
      <c r="AD66" s="10">
        <f>SUM(AD59:AD64)</f>
        <v>4</v>
      </c>
      <c r="AH66" s="4"/>
      <c r="AJ66" s="17"/>
      <c r="AK66" s="4" t="str">
        <f>CONCATENATE('Version information'!O2,$I$57)</f>
        <v>Additional effort - On-premises data scanner</v>
      </c>
      <c r="AM66" s="8"/>
      <c r="AN66" s="8">
        <f>+N60</f>
        <v>0</v>
      </c>
      <c r="AO66" s="8"/>
      <c r="AR66" s="17"/>
      <c r="AS66" s="4" t="str">
        <f>CONCATENATE('Version information'!$O$2,$Y$57)</f>
        <v>Additional effort - Communication Compliance</v>
      </c>
      <c r="AU66" s="8"/>
      <c r="AV66" s="8">
        <f>+AD60</f>
        <v>0</v>
      </c>
      <c r="AW66" s="8"/>
    </row>
    <row r="67" spans="1:49" x14ac:dyDescent="0.45">
      <c r="AH67" s="4"/>
      <c r="AJ67" s="17" t="str">
        <f>+'Version information'!$I$4</f>
        <v>Step 3</v>
      </c>
      <c r="AK67" s="7" t="str">
        <f>+'Version information'!$L$4</f>
        <v>Setup and Configuration</v>
      </c>
      <c r="AM67" s="8"/>
      <c r="AN67" s="8"/>
      <c r="AO67" s="8"/>
      <c r="AR67" s="17" t="str">
        <f>+'Version information'!$I$4</f>
        <v>Step 3</v>
      </c>
      <c r="AS67" s="7" t="str">
        <f>+'Version information'!$L$4</f>
        <v>Setup and Configuration</v>
      </c>
      <c r="AU67" s="8"/>
      <c r="AV67" s="8"/>
      <c r="AW67" s="8"/>
    </row>
    <row r="68" spans="1:49" x14ac:dyDescent="0.45">
      <c r="A68" s="15" t="s">
        <v>73</v>
      </c>
      <c r="B68" s="15"/>
      <c r="C68" s="15"/>
      <c r="D68" s="15"/>
      <c r="E68" s="15"/>
      <c r="F68" s="15"/>
      <c r="G68" s="15"/>
      <c r="AH68" s="4"/>
      <c r="AK68" s="4" t="str">
        <f>CONCATENATE('Version information'!O2,$I$57)</f>
        <v>Additional effort - On-premises data scanner</v>
      </c>
      <c r="AM68" s="8"/>
      <c r="AN68" s="8">
        <f>+N61</f>
        <v>4</v>
      </c>
      <c r="AO68" s="8"/>
      <c r="AS68" s="4" t="str">
        <f>CONCATENATE('Version information'!$O$2,$Y$57)</f>
        <v>Additional effort - Communication Compliance</v>
      </c>
      <c r="AU68" s="8"/>
      <c r="AV68" s="8">
        <f>+AD61</f>
        <v>1</v>
      </c>
      <c r="AW68" s="8"/>
    </row>
    <row r="69" spans="1:49" x14ac:dyDescent="0.45">
      <c r="A69" s="16" t="s">
        <v>90</v>
      </c>
      <c r="B69" s="16"/>
      <c r="C69" s="16"/>
      <c r="D69" s="16"/>
      <c r="E69" s="16"/>
      <c r="F69" s="16"/>
      <c r="G69" s="16"/>
      <c r="AH69" s="4"/>
      <c r="AJ69" s="17" t="str">
        <f>+'Version information'!$I$5</f>
        <v>Step 4</v>
      </c>
      <c r="AK69" s="7" t="str">
        <f>+'Version information'!$L$5</f>
        <v>Analyze the findings</v>
      </c>
      <c r="AR69" s="17" t="str">
        <f>+'Version information'!$I$5</f>
        <v>Step 4</v>
      </c>
      <c r="AS69" s="7" t="str">
        <f>+'Version information'!$L$5</f>
        <v>Analyze the findings</v>
      </c>
    </row>
    <row r="70" spans="1:49" x14ac:dyDescent="0.45">
      <c r="A70" s="5"/>
      <c r="B70" s="12"/>
      <c r="C70" s="5"/>
      <c r="D70" s="6"/>
      <c r="E70" s="6"/>
      <c r="F70" s="19" t="s">
        <v>0</v>
      </c>
      <c r="G70" s="5"/>
      <c r="AH70" s="4"/>
      <c r="AK70" s="4" t="str">
        <f>CONCATENATE('Version information'!O2,$I$57)</f>
        <v>Additional effort - On-premises data scanner</v>
      </c>
      <c r="AM70" s="8"/>
      <c r="AN70" s="8">
        <f>+N62</f>
        <v>1.5</v>
      </c>
      <c r="AS70" s="4" t="str">
        <f>CONCATENATE('Version information'!$O$2,$Y$57)</f>
        <v>Additional effort - Communication Compliance</v>
      </c>
      <c r="AU70" s="8"/>
      <c r="AV70" s="8">
        <f>+AD62</f>
        <v>1</v>
      </c>
    </row>
    <row r="71" spans="1:49" x14ac:dyDescent="0.45">
      <c r="B71" s="14" t="str">
        <f>+'Version information'!$I$2</f>
        <v>Step 1</v>
      </c>
      <c r="C71" s="4" t="str">
        <f>+'Version information'!$J$2</f>
        <v>Additional effort - Kick-off meeting</v>
      </c>
      <c r="E71" s="8"/>
      <c r="F71" s="8">
        <v>1</v>
      </c>
      <c r="AH71" s="4"/>
      <c r="AJ71" s="17" t="str">
        <f>+'Version information'!$I$6</f>
        <v>Step 5</v>
      </c>
      <c r="AK71" s="7" t="str">
        <f>+'Version information'!$L$6</f>
        <v>Report and recommendations write-up</v>
      </c>
      <c r="AR71" s="17" t="str">
        <f>+'Version information'!$I$6</f>
        <v>Step 5</v>
      </c>
      <c r="AS71" s="7" t="str">
        <f>+'Version information'!$L$6</f>
        <v>Report and recommendations write-up</v>
      </c>
    </row>
    <row r="72" spans="1:49" x14ac:dyDescent="0.45">
      <c r="B72" s="14" t="str">
        <f>+'Version information'!$I$3</f>
        <v>Step 2</v>
      </c>
      <c r="C72" s="4" t="str">
        <f>+'Version information'!$J$3</f>
        <v>Additional effort - Acquire and assign licenses</v>
      </c>
      <c r="E72" s="8"/>
      <c r="F72" s="8">
        <v>0</v>
      </c>
      <c r="AH72" s="4"/>
      <c r="AK72" s="4" t="str">
        <f>CONCATENATE('Version information'!O2,$I$57)</f>
        <v>Additional effort - On-premises data scanner</v>
      </c>
      <c r="AM72" s="8"/>
      <c r="AN72" s="8">
        <f>+N63</f>
        <v>1.5</v>
      </c>
      <c r="AO72" s="8"/>
      <c r="AS72" s="4" t="str">
        <f>CONCATENATE('Version information'!$O$2,$Y$57)</f>
        <v>Additional effort - Communication Compliance</v>
      </c>
      <c r="AU72" s="8"/>
      <c r="AV72" s="8">
        <f>+AD63</f>
        <v>1</v>
      </c>
      <c r="AW72" s="8"/>
    </row>
    <row r="73" spans="1:49" x14ac:dyDescent="0.45">
      <c r="B73" s="14" t="str">
        <f>+'Version information'!$I$4</f>
        <v>Step 3</v>
      </c>
      <c r="C73" s="4" t="str">
        <f>+'Version information'!$J$4</f>
        <v>Additional effort - Setup and Configuration</v>
      </c>
      <c r="E73" s="8"/>
      <c r="F73" s="8">
        <v>4.5</v>
      </c>
      <c r="AH73" s="4"/>
      <c r="AJ73" s="17" t="str">
        <f>+'Version information'!$I$7</f>
        <v>Step 6</v>
      </c>
      <c r="AK73" s="7" t="str">
        <f>+'Version information'!$L$7</f>
        <v>Decommision</v>
      </c>
      <c r="AR73" s="17" t="str">
        <f>+'Version information'!$I$7</f>
        <v>Step 6</v>
      </c>
      <c r="AS73" s="7" t="str">
        <f>+'Version information'!$L$7</f>
        <v>Decommision</v>
      </c>
    </row>
    <row r="74" spans="1:49" x14ac:dyDescent="0.45">
      <c r="B74" s="14" t="str">
        <f>+'Version information'!$I$5</f>
        <v>Step 4</v>
      </c>
      <c r="C74" s="4" t="str">
        <f>+'Version information'!$J$5</f>
        <v>Additional effort - Analyze the findings</v>
      </c>
      <c r="E74" s="8"/>
      <c r="F74" s="8">
        <v>1</v>
      </c>
      <c r="AH74" s="4"/>
      <c r="AK74" s="4" t="str">
        <f>CONCATENATE('Version information'!O2,$I$57)</f>
        <v>Additional effort - On-premises data scanner</v>
      </c>
      <c r="AM74" s="8"/>
      <c r="AN74" s="8">
        <f>+N64</f>
        <v>0.5</v>
      </c>
      <c r="AS74" s="4" t="str">
        <f>CONCATENATE('Version information'!$O$2,$Y$57)</f>
        <v>Additional effort - Communication Compliance</v>
      </c>
      <c r="AU74" s="8"/>
      <c r="AV74" s="8">
        <f>+AD64</f>
        <v>0.5</v>
      </c>
    </row>
    <row r="75" spans="1:49" ht="19.8" thickBot="1" x14ac:dyDescent="0.5">
      <c r="B75" s="14" t="str">
        <f>+'Version information'!$I$6</f>
        <v>Step 5</v>
      </c>
      <c r="C75" s="4" t="str">
        <f>+'Version information'!$J$6</f>
        <v>Additional effort - Report and recommendations write-up</v>
      </c>
      <c r="E75" s="8"/>
      <c r="F75" s="8">
        <v>1</v>
      </c>
      <c r="AH75" s="4"/>
      <c r="AN75" s="9"/>
      <c r="AO75" s="7" t="s">
        <v>3</v>
      </c>
      <c r="AV75" s="9"/>
      <c r="AW75" s="7" t="s">
        <v>3</v>
      </c>
    </row>
    <row r="76" spans="1:49" x14ac:dyDescent="0.45">
      <c r="B76" s="14" t="str">
        <f>+'Version information'!$I$7</f>
        <v>Step 6</v>
      </c>
      <c r="C76" s="4" t="str">
        <f>+'Version information'!$J$7</f>
        <v>Additional effort - Decommision</v>
      </c>
      <c r="E76" s="8"/>
      <c r="F76" s="8">
        <v>0.5</v>
      </c>
      <c r="AH76" s="4"/>
      <c r="AJ76" s="17" t="str">
        <f>CONCATENATE("Estimated additional effort - ",I57)</f>
        <v>Estimated additional effort - On-premises data scanner</v>
      </c>
      <c r="AN76" s="10">
        <f>SUM(AN63:AN74)</f>
        <v>8</v>
      </c>
      <c r="AR76" s="17" t="str">
        <f>CONCATENATE("Estimated additional effort - ",Y57)</f>
        <v>Estimated additional effort - Communication Compliance</v>
      </c>
      <c r="AV76" s="10">
        <f>SUM(AV63:AV74)</f>
        <v>4</v>
      </c>
    </row>
    <row r="77" spans="1:49" ht="19.8" thickBot="1" x14ac:dyDescent="0.5">
      <c r="F77" s="9"/>
      <c r="G77" s="4" t="s">
        <v>3</v>
      </c>
      <c r="AH77" s="4"/>
      <c r="AJ77" s="4"/>
    </row>
    <row r="78" spans="1:49" x14ac:dyDescent="0.45">
      <c r="B78" s="17" t="s">
        <v>53</v>
      </c>
      <c r="C78" s="11"/>
      <c r="E78" s="8"/>
      <c r="F78" s="10">
        <f>SUM(F71:F76)</f>
        <v>8</v>
      </c>
      <c r="AH78" s="4"/>
      <c r="AI78" s="20" t="str">
        <f>+$A$69</f>
        <v>Data security for AI</v>
      </c>
      <c r="AJ78" s="12"/>
      <c r="AK78" s="5"/>
      <c r="AL78" s="6"/>
      <c r="AM78" s="6"/>
      <c r="AN78" s="19" t="s">
        <v>0</v>
      </c>
      <c r="AO78" s="5"/>
    </row>
    <row r="79" spans="1:49" x14ac:dyDescent="0.45">
      <c r="AH79" s="4"/>
      <c r="AJ79" s="17" t="str">
        <f>+'Version information'!$I$2</f>
        <v>Step 1</v>
      </c>
      <c r="AK79" s="7" t="str">
        <f>+'Version information'!$L$2</f>
        <v>Kick-off meeting</v>
      </c>
    </row>
    <row r="80" spans="1:49" x14ac:dyDescent="0.45">
      <c r="AH80" s="4"/>
      <c r="AK80" s="4" t="str">
        <f>CONCATENATE('Version information'!O34,$A$69)</f>
        <v>Data security for AI</v>
      </c>
      <c r="AM80" s="8"/>
      <c r="AN80" s="8">
        <f>+F71</f>
        <v>1</v>
      </c>
    </row>
    <row r="81" spans="34:44" x14ac:dyDescent="0.45">
      <c r="AH81" s="4"/>
      <c r="AJ81" s="17" t="str">
        <f>+'Version information'!$I$3</f>
        <v>Step 2</v>
      </c>
      <c r="AK81" s="7" t="str">
        <f>+'Version information'!$L$3</f>
        <v>Acquire and assign licenses</v>
      </c>
    </row>
    <row r="82" spans="34:44" x14ac:dyDescent="0.45">
      <c r="AH82" s="4"/>
      <c r="AK82" s="4" t="str">
        <f>CONCATENATE('Version information'!O34,$A$69)</f>
        <v>Data security for AI</v>
      </c>
      <c r="AM82" s="8"/>
      <c r="AN82" s="8">
        <f>+F72</f>
        <v>0</v>
      </c>
    </row>
    <row r="83" spans="34:44" x14ac:dyDescent="0.45">
      <c r="AH83" s="4"/>
      <c r="AJ83" s="17" t="str">
        <f>+'Version information'!$I$4</f>
        <v>Step 3</v>
      </c>
      <c r="AK83" s="7" t="str">
        <f>+'Version information'!$L$4</f>
        <v>Setup and Configuration</v>
      </c>
    </row>
    <row r="84" spans="34:44" x14ac:dyDescent="0.45">
      <c r="AH84" s="4"/>
      <c r="AK84" s="4" t="str">
        <f>CONCATENATE('Version information'!O34,$A$69)</f>
        <v>Data security for AI</v>
      </c>
      <c r="AM84" s="8"/>
      <c r="AN84" s="8">
        <f>+F73</f>
        <v>4.5</v>
      </c>
    </row>
    <row r="85" spans="34:44" x14ac:dyDescent="0.45">
      <c r="AH85" s="4"/>
      <c r="AJ85" s="17" t="str">
        <f>+'Version information'!$I$5</f>
        <v>Step 4</v>
      </c>
      <c r="AK85" s="7" t="str">
        <f>+'Version information'!$L$5</f>
        <v>Analyze the findings</v>
      </c>
      <c r="AR85" s="4"/>
    </row>
    <row r="86" spans="34:44" x14ac:dyDescent="0.45">
      <c r="AH86" s="4"/>
      <c r="AK86" s="4" t="str">
        <f>CONCATENATE('Version information'!O34,$A$69)</f>
        <v>Data security for AI</v>
      </c>
      <c r="AM86" s="8"/>
      <c r="AN86" s="8">
        <f>+F74</f>
        <v>1</v>
      </c>
      <c r="AR86" s="4"/>
    </row>
    <row r="87" spans="34:44" x14ac:dyDescent="0.45">
      <c r="AH87" s="4"/>
      <c r="AJ87" s="17" t="str">
        <f>+'Version information'!$I$6</f>
        <v>Step 5</v>
      </c>
      <c r="AK87" s="7" t="str">
        <f>+'Version information'!$L$6</f>
        <v>Report and recommendations write-up</v>
      </c>
      <c r="AR87" s="4"/>
    </row>
    <row r="88" spans="34:44" x14ac:dyDescent="0.45">
      <c r="AH88" s="4"/>
      <c r="AK88" s="4" t="str">
        <f>CONCATENATE('Version information'!O34,$A$69)</f>
        <v>Data security for AI</v>
      </c>
      <c r="AM88" s="8"/>
      <c r="AN88" s="8">
        <f>+F75</f>
        <v>1</v>
      </c>
      <c r="AR88" s="4"/>
    </row>
    <row r="89" spans="34:44" x14ac:dyDescent="0.45">
      <c r="AH89" s="4"/>
      <c r="AJ89" s="17" t="str">
        <f>+'Version information'!$I$7</f>
        <v>Step 6</v>
      </c>
      <c r="AK89" s="7" t="str">
        <f>+'Version information'!$L$7</f>
        <v>Decommision</v>
      </c>
      <c r="AR89" s="4"/>
    </row>
    <row r="90" spans="34:44" x14ac:dyDescent="0.45">
      <c r="AH90" s="4"/>
      <c r="AK90" s="4" t="str">
        <f>CONCATENATE('Version information'!O34,$A$69)</f>
        <v>Data security for AI</v>
      </c>
      <c r="AM90" s="8"/>
      <c r="AN90" s="8">
        <f>+F76</f>
        <v>0.5</v>
      </c>
      <c r="AR90" s="4"/>
    </row>
    <row r="91" spans="34:44" ht="19.8" thickBot="1" x14ac:dyDescent="0.5">
      <c r="AH91" s="4"/>
      <c r="AN91" s="9"/>
      <c r="AO91" s="7" t="s">
        <v>3</v>
      </c>
      <c r="AR91" s="4"/>
    </row>
    <row r="92" spans="34:44" x14ac:dyDescent="0.45">
      <c r="AH92" s="4"/>
      <c r="AJ92" s="17" t="str">
        <f>CONCATENATE("Estimated additional effort - ",A69)</f>
        <v>Estimated additional effort - Data security for AI</v>
      </c>
      <c r="AN92" s="10">
        <f>SUM(AN79:AN90)</f>
        <v>8</v>
      </c>
      <c r="AR92" s="4"/>
    </row>
    <row r="93" spans="34:44" x14ac:dyDescent="0.45">
      <c r="AH93" s="4"/>
      <c r="AJ93" s="4"/>
      <c r="AR93" s="4"/>
    </row>
    <row r="94" spans="34:44" x14ac:dyDescent="0.45">
      <c r="AH94" s="4"/>
      <c r="AJ94" s="4"/>
      <c r="AR94" s="4"/>
    </row>
    <row r="95" spans="34:44" x14ac:dyDescent="0.45">
      <c r="AH95" s="4"/>
      <c r="AJ95" s="4"/>
      <c r="AR95" s="4"/>
    </row>
    <row r="96" spans="34:44" x14ac:dyDescent="0.45">
      <c r="AH96" s="4"/>
      <c r="AJ96" s="4"/>
      <c r="AR96" s="4"/>
    </row>
    <row r="97" spans="34:44" x14ac:dyDescent="0.45">
      <c r="AH97" s="4"/>
      <c r="AJ97" s="4"/>
      <c r="AR97" s="4"/>
    </row>
    <row r="98" spans="34:44" x14ac:dyDescent="0.45">
      <c r="AH98" s="4"/>
      <c r="AJ98" s="4"/>
      <c r="AR98" s="4"/>
    </row>
    <row r="99" spans="34:44" x14ac:dyDescent="0.45">
      <c r="AH99" s="4"/>
      <c r="AJ99" s="4"/>
      <c r="AR99" s="4"/>
    </row>
    <row r="100" spans="34:44" x14ac:dyDescent="0.45">
      <c r="AH100" s="4"/>
      <c r="AJ100" s="4"/>
      <c r="AR100" s="4"/>
    </row>
    <row r="101" spans="34:44" x14ac:dyDescent="0.45">
      <c r="AH101" s="4"/>
      <c r="AJ101" s="4"/>
      <c r="AR101" s="4"/>
    </row>
    <row r="102" spans="34:44" x14ac:dyDescent="0.45">
      <c r="AH102" s="4"/>
      <c r="AJ102" s="4"/>
      <c r="AR102" s="4"/>
    </row>
    <row r="103" spans="34:44" x14ac:dyDescent="0.45">
      <c r="AH103" s="4"/>
      <c r="AJ103" s="4"/>
      <c r="AR103" s="4"/>
    </row>
    <row r="104" spans="34:44" x14ac:dyDescent="0.45">
      <c r="AH104" s="4"/>
      <c r="AJ104" s="4"/>
      <c r="AR104" s="4"/>
    </row>
    <row r="105" spans="34:44" x14ac:dyDescent="0.45">
      <c r="AH105" s="4"/>
      <c r="AJ105" s="4"/>
      <c r="AR105" s="4"/>
    </row>
    <row r="106" spans="34:44" x14ac:dyDescent="0.45">
      <c r="AH106" s="4"/>
      <c r="AJ106" s="4"/>
      <c r="AR106" s="4"/>
    </row>
    <row r="107" spans="34:44" x14ac:dyDescent="0.45">
      <c r="AH107" s="4"/>
      <c r="AJ107" s="4"/>
      <c r="AR107" s="4"/>
    </row>
    <row r="108" spans="34:44" x14ac:dyDescent="0.45">
      <c r="AH108" s="4"/>
      <c r="AJ108" s="4"/>
      <c r="AR108" s="4"/>
    </row>
    <row r="109" spans="34:44" x14ac:dyDescent="0.45">
      <c r="AH109" s="4"/>
      <c r="AJ109" s="4"/>
      <c r="AR109" s="4"/>
    </row>
    <row r="110" spans="34:44" x14ac:dyDescent="0.45">
      <c r="AH110" s="4"/>
      <c r="AJ110" s="4"/>
      <c r="AR110" s="4"/>
    </row>
    <row r="111" spans="34:44" x14ac:dyDescent="0.45">
      <c r="AH111" s="4"/>
      <c r="AJ111" s="4"/>
      <c r="AR111" s="4"/>
    </row>
    <row r="112" spans="34:44" x14ac:dyDescent="0.45">
      <c r="AH112" s="4"/>
      <c r="AJ112" s="4"/>
      <c r="AR112" s="4"/>
    </row>
    <row r="113" spans="34:44" x14ac:dyDescent="0.45">
      <c r="AH113" s="4"/>
      <c r="AJ113" s="4"/>
      <c r="AR113" s="4"/>
    </row>
    <row r="114" spans="34:44" x14ac:dyDescent="0.45">
      <c r="AH114" s="4"/>
      <c r="AJ114" s="4"/>
      <c r="AR114" s="4"/>
    </row>
    <row r="115" spans="34:44" x14ac:dyDescent="0.45">
      <c r="AH115" s="4"/>
      <c r="AJ115" s="4"/>
      <c r="AR115" s="4"/>
    </row>
    <row r="116" spans="34:44" x14ac:dyDescent="0.45">
      <c r="AH116" s="4"/>
      <c r="AJ116" s="4"/>
      <c r="AR116" s="4"/>
    </row>
    <row r="117" spans="34:44" x14ac:dyDescent="0.45">
      <c r="AH117" s="4"/>
      <c r="AJ117" s="4"/>
      <c r="AR117" s="4"/>
    </row>
    <row r="118" spans="34:44" x14ac:dyDescent="0.45">
      <c r="AH118" s="4"/>
      <c r="AJ118" s="4"/>
      <c r="AR118" s="4"/>
    </row>
  </sheetData>
  <mergeCells count="1">
    <mergeCell ref="B17:C17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4C4267-ACD9-48FB-B0AC-440CCACEE29A}">
          <x14:formula1>
            <xm:f>'Version information'!$S$2:$S$10</xm:f>
          </x14:formula1>
          <xm:sqref>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4342-3901-45FB-8646-3F0A278E7B28}">
  <dimension ref="A1:T29"/>
  <sheetViews>
    <sheetView topLeftCell="C1" zoomScale="160" zoomScaleNormal="160" workbookViewId="0">
      <selection activeCell="D17" sqref="D17"/>
    </sheetView>
  </sheetViews>
  <sheetFormatPr defaultRowHeight="14.4" x14ac:dyDescent="0.3"/>
  <cols>
    <col min="1" max="1" width="7.5546875" bestFit="1" customWidth="1"/>
    <col min="2" max="2" width="14.5546875" bestFit="1" customWidth="1"/>
    <col min="3" max="3" width="18.5546875" bestFit="1" customWidth="1"/>
    <col min="4" max="4" width="101.21875" style="22" customWidth="1"/>
    <col min="10" max="10" width="50.77734375" bestFit="1" customWidth="1"/>
    <col min="11" max="11" width="13.21875" bestFit="1" customWidth="1"/>
    <col min="12" max="12" width="34.77734375" bestFit="1" customWidth="1"/>
    <col min="13" max="13" width="36.44140625" bestFit="1" customWidth="1"/>
    <col min="15" max="15" width="16.77734375" bestFit="1" customWidth="1"/>
    <col min="19" max="19" width="28.77734375" bestFit="1" customWidth="1"/>
    <col min="20" max="20" width="14.44140625" customWidth="1"/>
  </cols>
  <sheetData>
    <row r="1" spans="1:20" ht="19.2" x14ac:dyDescent="0.45">
      <c r="A1" s="2" t="s">
        <v>18</v>
      </c>
      <c r="B1" s="1" t="s">
        <v>17</v>
      </c>
      <c r="C1" s="1" t="s">
        <v>15</v>
      </c>
      <c r="D1" s="21" t="s">
        <v>16</v>
      </c>
      <c r="I1" s="3" t="s">
        <v>45</v>
      </c>
      <c r="J1" s="1"/>
      <c r="K1" s="1"/>
      <c r="L1" s="1"/>
      <c r="M1" s="1"/>
      <c r="N1" s="1"/>
      <c r="O1" s="1"/>
      <c r="S1" s="7" t="s">
        <v>80</v>
      </c>
      <c r="T1" s="46" t="s">
        <v>81</v>
      </c>
    </row>
    <row r="2" spans="1:20" ht="19.2" x14ac:dyDescent="0.45">
      <c r="A2" s="29" t="s">
        <v>19</v>
      </c>
      <c r="B2" s="27" t="s">
        <v>23</v>
      </c>
      <c r="C2" s="23" t="s">
        <v>14</v>
      </c>
      <c r="D2" s="24" t="s">
        <v>21</v>
      </c>
      <c r="I2" s="1" t="s">
        <v>6</v>
      </c>
      <c r="J2" s="1" t="s">
        <v>39</v>
      </c>
      <c r="K2" s="1" t="s">
        <v>49</v>
      </c>
      <c r="L2" s="1" t="s">
        <v>5</v>
      </c>
      <c r="M2" t="s">
        <v>46</v>
      </c>
      <c r="N2" s="1"/>
      <c r="O2" s="1" t="s">
        <v>57</v>
      </c>
      <c r="S2" s="4" t="s">
        <v>79</v>
      </c>
      <c r="T2" s="38" t="s">
        <v>82</v>
      </c>
    </row>
    <row r="3" spans="1:20" ht="19.2" x14ac:dyDescent="0.45">
      <c r="A3" s="29" t="s">
        <v>20</v>
      </c>
      <c r="B3" s="27" t="s">
        <v>24</v>
      </c>
      <c r="C3" s="23" t="s">
        <v>14</v>
      </c>
      <c r="D3" s="24" t="s">
        <v>22</v>
      </c>
      <c r="I3" s="1" t="s">
        <v>7</v>
      </c>
      <c r="J3" s="1" t="s">
        <v>40</v>
      </c>
      <c r="K3" s="1" t="s">
        <v>49</v>
      </c>
      <c r="L3" s="1" t="s">
        <v>28</v>
      </c>
      <c r="M3" t="s">
        <v>47</v>
      </c>
      <c r="N3" s="1"/>
      <c r="O3" s="1"/>
      <c r="S3" s="4" t="str">
        <f>+'Hours estimate'!A57</f>
        <v>Compliance Manager</v>
      </c>
      <c r="T3" s="8">
        <f>+'Hours estimate'!F66</f>
        <v>4</v>
      </c>
    </row>
    <row r="4" spans="1:20" ht="19.2" x14ac:dyDescent="0.45">
      <c r="A4" s="29" t="s">
        <v>25</v>
      </c>
      <c r="B4" s="27">
        <v>44136</v>
      </c>
      <c r="C4" s="23" t="s">
        <v>14</v>
      </c>
      <c r="D4" s="24" t="s">
        <v>26</v>
      </c>
      <c r="I4" s="1" t="s">
        <v>9</v>
      </c>
      <c r="J4" s="1" t="s">
        <v>41</v>
      </c>
      <c r="K4" s="1" t="s">
        <v>49</v>
      </c>
      <c r="L4" s="1" t="s">
        <v>8</v>
      </c>
      <c r="M4" t="s">
        <v>48</v>
      </c>
      <c r="N4" s="1"/>
      <c r="O4" s="1"/>
      <c r="S4" s="4" t="str">
        <f>+'Hours estimate'!I57</f>
        <v>On-premises data scanner</v>
      </c>
      <c r="T4" s="8">
        <f>+'Hours estimate'!N66</f>
        <v>8</v>
      </c>
    </row>
    <row r="5" spans="1:20" ht="19.2" x14ac:dyDescent="0.45">
      <c r="A5" s="29" t="s">
        <v>31</v>
      </c>
      <c r="B5" s="27" t="s">
        <v>29</v>
      </c>
      <c r="C5" s="23" t="s">
        <v>14</v>
      </c>
      <c r="D5" s="24" t="s">
        <v>30</v>
      </c>
      <c r="I5" s="1" t="s">
        <v>10</v>
      </c>
      <c r="J5" s="1" t="s">
        <v>42</v>
      </c>
      <c r="K5" s="1" t="s">
        <v>49</v>
      </c>
      <c r="L5" s="1" t="s">
        <v>37</v>
      </c>
      <c r="M5" s="1"/>
      <c r="N5" s="1"/>
      <c r="O5" s="1"/>
      <c r="S5" s="4" t="str">
        <f>+'Hours estimate'!Q57</f>
        <v>Windows endpoints</v>
      </c>
      <c r="T5" s="8">
        <f>+'Hours estimate'!V66</f>
        <v>8</v>
      </c>
    </row>
    <row r="6" spans="1:20" ht="19.2" x14ac:dyDescent="0.45">
      <c r="A6" s="29" t="s">
        <v>32</v>
      </c>
      <c r="B6" s="27" t="s">
        <v>33</v>
      </c>
      <c r="C6" s="23" t="s">
        <v>14</v>
      </c>
      <c r="D6" s="25" t="s">
        <v>34</v>
      </c>
      <c r="I6" s="1" t="s">
        <v>11</v>
      </c>
      <c r="J6" s="1" t="s">
        <v>43</v>
      </c>
      <c r="K6" s="1" t="s">
        <v>49</v>
      </c>
      <c r="L6" s="1" t="s">
        <v>38</v>
      </c>
      <c r="M6" s="1"/>
      <c r="N6" s="1"/>
      <c r="O6" s="1"/>
      <c r="S6" s="4" t="str">
        <f>+'Hours estimate'!Y57</f>
        <v>Communication Compliance</v>
      </c>
      <c r="T6" s="8">
        <f>+'Hours estimate'!AD66</f>
        <v>4</v>
      </c>
    </row>
    <row r="7" spans="1:20" ht="30" x14ac:dyDescent="0.45">
      <c r="A7" s="29" t="s">
        <v>35</v>
      </c>
      <c r="B7" s="27" t="s">
        <v>36</v>
      </c>
      <c r="C7" s="23" t="s">
        <v>14</v>
      </c>
      <c r="D7" s="25" t="s">
        <v>58</v>
      </c>
      <c r="I7" s="26" t="s">
        <v>12</v>
      </c>
      <c r="J7" s="26" t="s">
        <v>44</v>
      </c>
      <c r="K7" s="26" t="s">
        <v>49</v>
      </c>
      <c r="L7" s="26" t="s">
        <v>13</v>
      </c>
      <c r="M7" s="1"/>
      <c r="N7" s="1"/>
      <c r="O7" s="1"/>
      <c r="S7" s="4" t="s">
        <v>89</v>
      </c>
      <c r="T7" s="8">
        <f>+'Hours estimate'!F78</f>
        <v>8</v>
      </c>
    </row>
    <row r="8" spans="1:20" ht="15" x14ac:dyDescent="0.3">
      <c r="A8" s="29" t="s">
        <v>59</v>
      </c>
      <c r="B8" s="27" t="s">
        <v>60</v>
      </c>
      <c r="C8" s="23" t="s">
        <v>14</v>
      </c>
      <c r="D8" s="25" t="s">
        <v>61</v>
      </c>
    </row>
    <row r="9" spans="1:20" ht="15" x14ac:dyDescent="0.3">
      <c r="A9" s="29" t="s">
        <v>62</v>
      </c>
      <c r="B9" s="28">
        <v>44743</v>
      </c>
      <c r="C9" s="23" t="s">
        <v>14</v>
      </c>
      <c r="D9" s="24" t="s">
        <v>63</v>
      </c>
    </row>
    <row r="10" spans="1:20" ht="15" x14ac:dyDescent="0.3">
      <c r="A10" s="29" t="s">
        <v>65</v>
      </c>
      <c r="B10" s="28">
        <v>44927</v>
      </c>
      <c r="C10" s="23" t="s">
        <v>14</v>
      </c>
      <c r="D10" s="24" t="s">
        <v>66</v>
      </c>
    </row>
    <row r="11" spans="1:20" ht="15" x14ac:dyDescent="0.3">
      <c r="A11" s="30" t="s">
        <v>67</v>
      </c>
      <c r="B11" s="27">
        <v>45139</v>
      </c>
      <c r="C11" s="23" t="s">
        <v>14</v>
      </c>
      <c r="D11" s="25" t="s">
        <v>68</v>
      </c>
    </row>
    <row r="12" spans="1:20" ht="15" x14ac:dyDescent="0.35">
      <c r="A12" s="31" t="s">
        <v>83</v>
      </c>
      <c r="B12" s="27" t="s">
        <v>86</v>
      </c>
      <c r="C12" s="47" t="s">
        <v>14</v>
      </c>
      <c r="D12" s="1" t="s">
        <v>84</v>
      </c>
    </row>
    <row r="13" spans="1:20" ht="15" x14ac:dyDescent="0.3">
      <c r="A13" s="31" t="s">
        <v>85</v>
      </c>
      <c r="B13" s="27">
        <v>45566</v>
      </c>
      <c r="C13" s="47" t="s">
        <v>14</v>
      </c>
      <c r="D13" s="25" t="s">
        <v>87</v>
      </c>
    </row>
    <row r="14" spans="1:20" ht="15" x14ac:dyDescent="0.35">
      <c r="A14" s="31" t="s">
        <v>88</v>
      </c>
      <c r="B14" s="27">
        <v>45658</v>
      </c>
      <c r="C14" s="47" t="s">
        <v>14</v>
      </c>
      <c r="D14" s="1" t="s">
        <v>92</v>
      </c>
    </row>
    <row r="15" spans="1:20" ht="15" x14ac:dyDescent="0.3">
      <c r="A15" s="31" t="s">
        <v>93</v>
      </c>
      <c r="B15" s="27">
        <v>45778</v>
      </c>
      <c r="C15" s="47" t="s">
        <v>14</v>
      </c>
      <c r="D15" s="25" t="s">
        <v>94</v>
      </c>
    </row>
    <row r="16" spans="1:20" ht="15" x14ac:dyDescent="0.3">
      <c r="A16" s="31" t="s">
        <v>95</v>
      </c>
      <c r="B16" s="27" t="s">
        <v>96</v>
      </c>
      <c r="C16" s="47" t="s">
        <v>14</v>
      </c>
      <c r="D16" s="25" t="s">
        <v>97</v>
      </c>
    </row>
    <row r="17" spans="1:4" ht="15" x14ac:dyDescent="0.3">
      <c r="A17" s="31" t="s">
        <v>100</v>
      </c>
      <c r="B17" s="27">
        <v>46023</v>
      </c>
      <c r="C17" s="47" t="s">
        <v>14</v>
      </c>
      <c r="D17" s="25" t="s">
        <v>94</v>
      </c>
    </row>
    <row r="18" spans="1:4" ht="15" x14ac:dyDescent="0.3">
      <c r="A18" s="31"/>
      <c r="B18" s="27"/>
      <c r="C18" s="47"/>
      <c r="D18" s="25"/>
    </row>
    <row r="19" spans="1:4" ht="15" x14ac:dyDescent="0.3">
      <c r="A19" s="31"/>
      <c r="B19" s="27"/>
      <c r="C19" s="47"/>
      <c r="D19" s="25"/>
    </row>
    <row r="20" spans="1:4" ht="15" x14ac:dyDescent="0.3">
      <c r="A20" s="31"/>
      <c r="B20" s="27"/>
      <c r="C20" s="47"/>
      <c r="D20" s="25"/>
    </row>
    <row r="21" spans="1:4" ht="15" x14ac:dyDescent="0.3">
      <c r="A21" s="31"/>
      <c r="B21" s="27"/>
      <c r="C21" s="47"/>
      <c r="D21" s="25"/>
    </row>
    <row r="22" spans="1:4" ht="15" x14ac:dyDescent="0.3">
      <c r="A22" s="31"/>
      <c r="B22" s="27"/>
      <c r="C22" s="47"/>
      <c r="D22" s="25"/>
    </row>
    <row r="23" spans="1:4" ht="15" x14ac:dyDescent="0.3">
      <c r="A23" s="31"/>
      <c r="B23" s="27"/>
      <c r="C23" s="47"/>
      <c r="D23" s="25"/>
    </row>
    <row r="24" spans="1:4" ht="15" x14ac:dyDescent="0.3">
      <c r="A24" s="31"/>
      <c r="B24" s="27"/>
      <c r="C24" s="47"/>
      <c r="D24" s="25"/>
    </row>
    <row r="25" spans="1:4" ht="15" x14ac:dyDescent="0.3">
      <c r="A25" s="31"/>
      <c r="B25" s="27"/>
      <c r="C25" s="47"/>
      <c r="D25" s="25"/>
    </row>
    <row r="26" spans="1:4" ht="15" x14ac:dyDescent="0.3">
      <c r="A26" s="31"/>
      <c r="B26" s="27"/>
      <c r="C26" s="47"/>
      <c r="D26" s="25"/>
    </row>
    <row r="27" spans="1:4" ht="15" x14ac:dyDescent="0.3">
      <c r="A27" s="31"/>
      <c r="B27" s="27"/>
      <c r="C27" s="47"/>
      <c r="D27" s="25"/>
    </row>
    <row r="28" spans="1:4" ht="15" x14ac:dyDescent="0.3">
      <c r="A28" s="31"/>
      <c r="B28" s="27"/>
      <c r="C28" s="47"/>
      <c r="D28" s="25"/>
    </row>
    <row r="29" spans="1:4" ht="15" x14ac:dyDescent="0.3">
      <c r="A29" s="31"/>
      <c r="B29" s="27"/>
      <c r="C29" s="47"/>
      <c r="D29" s="25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95DE1BA95F0F44928AD52CE26F3A81" ma:contentTypeVersion="21" ma:contentTypeDescription="Create a new document." ma:contentTypeScope="" ma:versionID="ab6764ca03e1d3b124beacc6de4d8e70">
  <xsd:schema xmlns:xsd="http://www.w3.org/2001/XMLSchema" xmlns:xs="http://www.w3.org/2001/XMLSchema" xmlns:p="http://schemas.microsoft.com/office/2006/metadata/properties" xmlns:ns1="http://schemas.microsoft.com/sharepoint/v3" xmlns:ns2="6a0b5848-5d4f-4a8c-b92f-d3342726cf85" xmlns:ns3="8e5e91a6-894e-44a7-841f-492a00b8a202" xmlns:ns4="230e9df3-be65-4c73-a93b-d1236ebd677e" targetNamespace="http://schemas.microsoft.com/office/2006/metadata/properties" ma:root="true" ma:fieldsID="d18580317f9afb20084b498eb79c13f9" ns1:_="" ns2:_="" ns3:_="" ns4:_="">
    <xsd:import namespace="http://schemas.microsoft.com/sharepoint/v3"/>
    <xsd:import namespace="6a0b5848-5d4f-4a8c-b92f-d3342726cf85"/>
    <xsd:import namespace="8e5e91a6-894e-44a7-841f-492a00b8a202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b5848-5d4f-4a8c-b92f-d3342726cf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5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e91a6-894e-44a7-841f-492a00b8a20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81dbab06-9458-4b20-983b-16777042276e}" ma:internalName="TaxCatchAll" ma:showField="CatchAllData" ma:web="8e5e91a6-894e-44a7-841f-492a00b8a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30e9df3-be65-4c73-a93b-d1236ebd677e" xsi:nil="true"/>
    <lcf76f155ced4ddcb4097134ff3c332f xmlns="6a0b5848-5d4f-4a8c-b92f-d3342726cf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BFE633-C9BF-4E19-9CA7-0160228DD53A}"/>
</file>

<file path=customXml/itemProps2.xml><?xml version="1.0" encoding="utf-8"?>
<ds:datastoreItem xmlns:ds="http://schemas.openxmlformats.org/officeDocument/2006/customXml" ds:itemID="{0F0DEB1B-B56C-4659-9DDA-D3892EDC5B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BE4EBD-D9EA-49BC-A9FF-A36BFBB89169}">
  <ds:schemaRefs>
    <ds:schemaRef ds:uri="http://www.w3.org/XML/1998/namespace"/>
    <ds:schemaRef ds:uri="http://schemas.openxmlformats.org/package/2006/metadata/core-properties"/>
    <ds:schemaRef ds:uri="230e9df3-be65-4c73-a93b-d1236ebd677e"/>
    <ds:schemaRef ds:uri="http://purl.org/dc/dcmitype/"/>
    <ds:schemaRef ds:uri="http://purl.org/dc/terms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8e5e91a6-894e-44a7-841f-492a00b8a202"/>
    <ds:schemaRef ds:uri="6a0b5848-5d4f-4a8c-b92f-d3342726cf85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Hours estimate</vt:lpstr>
      <vt:lpstr>Version information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Security Engagement</dc:title>
  <dc:subject>31-Hours Estimate</dc:subject>
  <dc:creator>François van Hemert</dc:creator>
  <cp:keywords/>
  <dc:description/>
  <cp:lastModifiedBy>Francois van Hemert</cp:lastModifiedBy>
  <cp:revision/>
  <dcterms:created xsi:type="dcterms:W3CDTF">2019-08-19T09:38:35Z</dcterms:created>
  <dcterms:modified xsi:type="dcterms:W3CDTF">2025-12-01T16:07:21Z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0x0101004795DE1BA95F0F44928AD52CE26F3A81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franvanh@microsoft.com</vt:lpwstr>
  </property>
  <property fmtid="{D5CDD505-2E9C-101B-9397-08002B2CF9AE}" pid="6" name="MSIP_Label_f42aa342-8706-4288-bd11-ebb85995028c_SetDate">
    <vt:lpwstr>2019-10-15T12:56:48.8034567Z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ActionId">
    <vt:lpwstr>531f2634-4a55-43a9-ad09-70c88a7cdf41</vt:lpwstr>
  </property>
  <property fmtid="{D5CDD505-2E9C-101B-9397-08002B2CF9AE}" pid="10" name="MSIP_Label_f42aa342-8706-4288-bd11-ebb85995028c_Extended_MSFT_Method">
    <vt:lpwstr>Automatic</vt:lpwstr>
  </property>
  <property fmtid="{D5CDD505-2E9C-101B-9397-08002B2CF9AE}" pid="11" name="Sensitivity">
    <vt:lpwstr>General</vt:lpwstr>
  </property>
  <property fmtid="{D5CDD505-2E9C-101B-9397-08002B2CF9AE}" pid="12" name="MediaServiceImageTags">
    <vt:lpwstr/>
  </property>
</Properties>
</file>